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EACF54B2-4392-42FE-9374-9975CF34709A}" xr6:coauthVersionLast="47" xr6:coauthVersionMax="47" xr10:uidLastSave="{00000000-0000-0000-0000-000000000000}"/>
  <bookViews>
    <workbookView xWindow="1905" yWindow="1905" windowWidth="28800" windowHeight="11295" xr2:uid="{00000000-000D-0000-FFFF-FFFF00000000}"/>
  </bookViews>
  <sheets>
    <sheet name="Свод" sheetId="15" r:id="rId1"/>
    <sheet name="Калькулятор" sheetId="16" r:id="rId2"/>
  </sheets>
  <definedNames>
    <definedName name="_xlnm._FilterDatabase" localSheetId="1" hidden="1">Калькулятор!$B$2:$B$15</definedName>
    <definedName name="_xlnm._FilterDatabase" localSheetId="0" hidden="1">Свод!$D$2:$D$52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8" i="15" l="1"/>
  <c r="AG40" i="15"/>
  <c r="AG39" i="15"/>
  <c r="C10" i="16" l="1"/>
  <c r="C9" i="16"/>
  <c r="C8" i="16"/>
  <c r="C7" i="16"/>
  <c r="C6" i="16"/>
  <c r="C5" i="16"/>
  <c r="C4" i="16"/>
  <c r="C3" i="16"/>
  <c r="AH10" i="16" l="1"/>
  <c r="Y10" i="16"/>
  <c r="Q10" i="16"/>
  <c r="N10" i="16"/>
  <c r="O10" i="16" s="1"/>
  <c r="M10" i="16"/>
  <c r="AA10" i="16" s="1"/>
  <c r="H10" i="16"/>
  <c r="G10" i="16"/>
  <c r="AH9" i="16"/>
  <c r="N3" i="16"/>
  <c r="O3" i="16" s="1"/>
  <c r="M3" i="16"/>
  <c r="H3" i="16"/>
  <c r="G3" i="16"/>
  <c r="AH8" i="16"/>
  <c r="N5" i="16"/>
  <c r="O5" i="16" s="1"/>
  <c r="M5" i="16"/>
  <c r="H5" i="16"/>
  <c r="G5" i="16"/>
  <c r="AH7" i="16"/>
  <c r="N4" i="16"/>
  <c r="O4" i="16" s="1"/>
  <c r="M4" i="16"/>
  <c r="H4" i="16"/>
  <c r="G4" i="16"/>
  <c r="AH6" i="16"/>
  <c r="Y6" i="16"/>
  <c r="Q9" i="16"/>
  <c r="N9" i="16"/>
  <c r="O9" i="16" s="1"/>
  <c r="M9" i="16"/>
  <c r="H9" i="16"/>
  <c r="G9" i="16"/>
  <c r="AH5" i="16"/>
  <c r="Y5" i="16"/>
  <c r="N7" i="16"/>
  <c r="O7" i="16" s="1"/>
  <c r="M7" i="16"/>
  <c r="H7" i="16"/>
  <c r="G7" i="16"/>
  <c r="AH4" i="16"/>
  <c r="Y4" i="16"/>
  <c r="N8" i="16"/>
  <c r="O8" i="16" s="1"/>
  <c r="M8" i="16"/>
  <c r="H8" i="16"/>
  <c r="G8" i="16"/>
  <c r="AH3" i="16"/>
  <c r="N6" i="16"/>
  <c r="O6" i="16" s="1"/>
  <c r="M6" i="16"/>
  <c r="H6" i="16"/>
  <c r="G6" i="16"/>
  <c r="AJ10" i="16" l="1"/>
  <c r="AJ6" i="16"/>
  <c r="AK10" i="16"/>
  <c r="AL10" i="16" s="1"/>
  <c r="AM10" i="16" s="1"/>
  <c r="AJ7" i="16"/>
  <c r="AK7" i="16" s="1"/>
  <c r="AL7" i="16" s="1"/>
  <c r="AM7" i="16" s="1"/>
  <c r="AC4" i="16"/>
  <c r="AD4" i="16" s="1"/>
  <c r="AE4" i="16" s="1"/>
  <c r="AF4" i="16" s="1"/>
  <c r="AC10" i="16"/>
  <c r="AD10" i="16" s="1"/>
  <c r="AE10" i="16" s="1"/>
  <c r="AF10" i="16" s="1"/>
  <c r="AJ3" i="16"/>
  <c r="AK3" i="16" s="1"/>
  <c r="AL3" i="16" s="1"/>
  <c r="AM3" i="16" s="1"/>
  <c r="T9" i="16"/>
  <c r="U9" i="16" s="1"/>
  <c r="AC5" i="16"/>
  <c r="AK6" i="16"/>
  <c r="AL6" i="16" s="1"/>
  <c r="AM6" i="16" s="1"/>
  <c r="AJ5" i="16"/>
  <c r="AJ4" i="16"/>
  <c r="AJ8" i="16"/>
  <c r="AC6" i="16"/>
  <c r="T10" i="16"/>
  <c r="AJ9" i="16"/>
  <c r="AD5" i="16" l="1"/>
  <c r="AE5" i="16" s="1"/>
  <c r="AF5" i="16" s="1"/>
  <c r="V9" i="16"/>
  <c r="W9" i="16" s="1"/>
  <c r="AK5" i="16"/>
  <c r="AL5" i="16" s="1"/>
  <c r="AM5" i="16" s="1"/>
  <c r="AK8" i="16"/>
  <c r="AL8" i="16" s="1"/>
  <c r="AM8" i="16" s="1"/>
  <c r="AD6" i="16"/>
  <c r="AE6" i="16" s="1"/>
  <c r="AF6" i="16" s="1"/>
  <c r="AK9" i="16"/>
  <c r="AL9" i="16" s="1"/>
  <c r="AM9" i="16" s="1"/>
  <c r="U10" i="16"/>
  <c r="V10" i="16" s="1"/>
  <c r="W10" i="16" s="1"/>
  <c r="AK4" i="16"/>
  <c r="AL4" i="16" s="1"/>
  <c r="AM4" i="16" s="1"/>
  <c r="AB53" i="15" l="1"/>
  <c r="H69" i="15"/>
  <c r="T48" i="15"/>
  <c r="R49" i="15" s="1"/>
  <c r="R46" i="15"/>
  <c r="R55" i="15"/>
  <c r="R64" i="15"/>
  <c r="R63" i="15"/>
  <c r="R62" i="15"/>
  <c r="M57" i="15"/>
  <c r="M46" i="15"/>
  <c r="H68" i="15"/>
  <c r="H66" i="15"/>
  <c r="H60" i="15"/>
  <c r="H59" i="15"/>
  <c r="H58" i="15"/>
  <c r="H57" i="15"/>
  <c r="H55" i="15"/>
  <c r="H50" i="15"/>
  <c r="H49" i="15"/>
  <c r="H47" i="15"/>
  <c r="H46" i="15"/>
  <c r="AC65" i="15"/>
  <c r="X65" i="15"/>
  <c r="AC61" i="15"/>
  <c r="D3" i="15"/>
  <c r="E4" i="15" s="1"/>
  <c r="R47" i="15"/>
  <c r="W47" i="15"/>
  <c r="W46" i="15"/>
  <c r="AH3" i="15"/>
  <c r="AH51" i="15" s="1"/>
  <c r="AC3" i="15"/>
  <c r="AC67" i="15" s="1"/>
  <c r="X3" i="15"/>
  <c r="X45" i="15" s="1"/>
  <c r="N3" i="15"/>
  <c r="N61" i="15" s="1"/>
  <c r="I3" i="15"/>
  <c r="AE3" i="15"/>
  <c r="AC27" i="15" l="1"/>
  <c r="AC38" i="15"/>
  <c r="I27" i="15"/>
  <c r="AC42" i="15"/>
  <c r="AC45" i="15"/>
  <c r="AG56" i="15"/>
  <c r="AG61" i="15"/>
  <c r="AG38" i="15"/>
  <c r="X38" i="15"/>
  <c r="N42" i="15"/>
  <c r="AC48" i="15"/>
  <c r="N54" i="15"/>
  <c r="AC54" i="15"/>
  <c r="AH4" i="15"/>
  <c r="AG4" i="15" s="1"/>
  <c r="AE71" i="15"/>
  <c r="N38" i="15"/>
  <c r="X61" i="15"/>
  <c r="AH67" i="15"/>
  <c r="AG67" i="15" s="1"/>
  <c r="I4" i="15"/>
  <c r="N4" i="15"/>
  <c r="X54" i="15"/>
  <c r="AH61" i="15"/>
  <c r="I65" i="15"/>
  <c r="AH45" i="15"/>
  <c r="X4" i="15"/>
  <c r="AH38" i="15"/>
  <c r="N48" i="15"/>
  <c r="I61" i="15"/>
  <c r="AC4" i="15"/>
  <c r="X48" i="15"/>
  <c r="AH54" i="15"/>
  <c r="AG54" i="15" s="1"/>
  <c r="N65" i="15"/>
  <c r="I56" i="15"/>
  <c r="AH48" i="15"/>
  <c r="I67" i="15"/>
  <c r="N56" i="15"/>
  <c r="I51" i="15"/>
  <c r="X56" i="15"/>
  <c r="AH65" i="15"/>
  <c r="AG65" i="15" s="1"/>
  <c r="I48" i="15"/>
  <c r="I54" i="15"/>
  <c r="X42" i="15"/>
  <c r="N27" i="15"/>
  <c r="X27" i="15"/>
  <c r="AH42" i="15"/>
  <c r="N51" i="15"/>
  <c r="AC56" i="15"/>
  <c r="I45" i="15"/>
  <c r="X51" i="15"/>
  <c r="AH56" i="15"/>
  <c r="N67" i="15"/>
  <c r="I42" i="15"/>
  <c r="AH27" i="15"/>
  <c r="AG27" i="15" s="1"/>
  <c r="N45" i="15"/>
  <c r="AC51" i="15"/>
  <c r="X67" i="15"/>
  <c r="I38" i="15"/>
  <c r="E65" i="15"/>
  <c r="F67" i="15" l="1"/>
  <c r="P61" i="15"/>
  <c r="F56" i="15"/>
  <c r="AG52" i="15"/>
  <c r="AB52" i="15"/>
  <c r="T51" i="15"/>
  <c r="F48" i="15"/>
  <c r="U45" i="15"/>
  <c r="F45" i="15"/>
  <c r="AB43" i="15"/>
  <c r="W43" i="15"/>
  <c r="F42" i="15"/>
  <c r="H44" i="15"/>
  <c r="H43" i="15"/>
  <c r="M40" i="15"/>
  <c r="R40" i="15"/>
  <c r="W41" i="15"/>
  <c r="W40" i="15"/>
  <c r="W39" i="15"/>
  <c r="R39" i="15"/>
  <c r="M39" i="15"/>
  <c r="H39" i="15"/>
  <c r="U38" i="15"/>
  <c r="K38" i="15"/>
  <c r="H37" i="15"/>
  <c r="H36" i="15"/>
  <c r="H35" i="15"/>
  <c r="H34" i="15"/>
  <c r="H33" i="15"/>
  <c r="H32" i="15"/>
  <c r="H31" i="15"/>
  <c r="H30" i="15"/>
  <c r="H29" i="15"/>
  <c r="H28" i="15"/>
  <c r="F27" i="15"/>
  <c r="AB5" i="15"/>
  <c r="AB6" i="15"/>
  <c r="Z4" i="15"/>
  <c r="R11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7" i="15"/>
  <c r="R6" i="15"/>
  <c r="R5" i="15"/>
  <c r="R10" i="15"/>
  <c r="R9" i="15"/>
  <c r="R8" i="15"/>
  <c r="M10" i="15"/>
  <c r="M9" i="15"/>
  <c r="M8" i="15"/>
  <c r="M7" i="15"/>
  <c r="M6" i="15"/>
  <c r="M5" i="15"/>
  <c r="H5" i="15"/>
  <c r="P4" i="15"/>
  <c r="K4" i="15"/>
  <c r="Z3" i="15" l="1"/>
  <c r="AB4" i="15" s="1"/>
  <c r="K3" i="15"/>
  <c r="U3" i="15"/>
  <c r="R53" i="15"/>
  <c r="S3" i="15"/>
  <c r="S4" i="15" s="1"/>
  <c r="F3" i="15"/>
  <c r="F71" i="15" s="1"/>
  <c r="R52" i="15"/>
  <c r="U71" i="15" l="1"/>
  <c r="W65" i="15"/>
  <c r="W54" i="15"/>
  <c r="W27" i="15"/>
  <c r="W67" i="15"/>
  <c r="W61" i="15"/>
  <c r="W4" i="15"/>
  <c r="W56" i="15"/>
  <c r="W38" i="15"/>
  <c r="H42" i="15"/>
  <c r="H38" i="15"/>
  <c r="H56" i="15"/>
  <c r="H65" i="15"/>
  <c r="H48" i="15"/>
  <c r="H4" i="15"/>
  <c r="H54" i="15"/>
  <c r="H67" i="15"/>
  <c r="H61" i="15"/>
  <c r="H51" i="15"/>
  <c r="H45" i="15"/>
  <c r="H27" i="15"/>
  <c r="Z71" i="15"/>
  <c r="AB38" i="15"/>
  <c r="AB54" i="15"/>
  <c r="AB27" i="15"/>
  <c r="AB65" i="15"/>
  <c r="AB56" i="15"/>
  <c r="AB67" i="15"/>
  <c r="AB61" i="15"/>
  <c r="K71" i="15"/>
  <c r="M61" i="15"/>
  <c r="M56" i="15"/>
  <c r="M48" i="15"/>
  <c r="M45" i="15"/>
  <c r="M42" i="15"/>
  <c r="M54" i="15"/>
  <c r="M27" i="15"/>
  <c r="M38" i="15"/>
  <c r="M67" i="15"/>
  <c r="M51" i="15"/>
  <c r="M65" i="15"/>
  <c r="M4" i="15"/>
  <c r="S61" i="15"/>
  <c r="S54" i="15"/>
  <c r="S42" i="15"/>
  <c r="S67" i="15"/>
  <c r="S48" i="15"/>
  <c r="P45" i="15" s="1"/>
  <c r="P3" i="15" s="1"/>
  <c r="S27" i="15"/>
  <c r="S38" i="15"/>
  <c r="S45" i="15"/>
  <c r="S56" i="15"/>
  <c r="S65" i="15"/>
  <c r="S51" i="15"/>
  <c r="P71" i="15" l="1"/>
  <c r="R38" i="15"/>
  <c r="R61" i="15"/>
  <c r="R54" i="15"/>
  <c r="R27" i="15"/>
  <c r="R65" i="15"/>
  <c r="R56" i="15"/>
  <c r="R67" i="15"/>
  <c r="R51" i="15"/>
  <c r="R4" i="15"/>
  <c r="AI3" i="15"/>
  <c r="T3" i="15"/>
  <c r="AD3" i="15"/>
  <c r="J3" i="15"/>
  <c r="O3" i="15"/>
  <c r="Y3" i="15"/>
  <c r="E27" i="15"/>
  <c r="E56" i="15"/>
  <c r="E67" i="15"/>
  <c r="E38" i="15"/>
  <c r="E61" i="15"/>
  <c r="E42" i="15"/>
  <c r="E45" i="15"/>
  <c r="E48" i="15"/>
  <c r="E51" i="15"/>
  <c r="E54" i="15"/>
  <c r="C3" i="15"/>
  <c r="E43" i="15" l="1"/>
  <c r="E5" i="15"/>
  <c r="A5" i="15" s="1"/>
  <c r="E62" i="15"/>
  <c r="A62" i="15" s="1"/>
  <c r="E57" i="15"/>
  <c r="A57" i="15" s="1"/>
  <c r="E28" i="15"/>
  <c r="A28" i="15" s="1"/>
  <c r="E46" i="15"/>
  <c r="A46" i="15" s="1"/>
  <c r="E55" i="15"/>
  <c r="A55" i="15" s="1"/>
  <c r="E66" i="15"/>
  <c r="A66" i="15" s="1"/>
  <c r="E52" i="15"/>
  <c r="A52" i="15" s="1"/>
  <c r="E68" i="15"/>
  <c r="A68" i="15" s="1"/>
  <c r="A43" i="15"/>
  <c r="E39" i="15"/>
  <c r="A39" i="15" s="1"/>
  <c r="E49" i="15"/>
  <c r="A49" i="15" s="1"/>
</calcChain>
</file>

<file path=xl/sharedStrings.xml><?xml version="1.0" encoding="utf-8"?>
<sst xmlns="http://schemas.openxmlformats.org/spreadsheetml/2006/main" count="396" uniqueCount="263">
  <si>
    <t>https://www.ozon.ru/product/177834253</t>
  </si>
  <si>
    <t>FORTUNA</t>
  </si>
  <si>
    <t>Fortuna</t>
  </si>
  <si>
    <t>FBS</t>
  </si>
  <si>
    <t>FBO</t>
  </si>
  <si>
    <t>https://www.ozon.ru/product/3164811402</t>
  </si>
  <si>
    <t>ДРИАДА СПОРТ</t>
  </si>
  <si>
    <t>DFC</t>
  </si>
  <si>
    <t>https://www.ozon.ru/product/2718127197</t>
  </si>
  <si>
    <t>https://www.ozon.ru/product/2872243552</t>
  </si>
  <si>
    <t>https://www.ozon.ru/product/3163896798</t>
  </si>
  <si>
    <t>https://www.ozon.ru/product/3164808111</t>
  </si>
  <si>
    <t>https://www.ozon.ru/product/2657843164</t>
  </si>
  <si>
    <t>BAISK</t>
  </si>
  <si>
    <t>https://www.ozon.ru/product/1781397983</t>
  </si>
  <si>
    <t>UNIX Line</t>
  </si>
  <si>
    <t>https://www.ozon.ru/product/1739933173</t>
  </si>
  <si>
    <t>MAXIPLAY</t>
  </si>
  <si>
    <t>https://www.ozon.ru/product/1739929135</t>
  </si>
  <si>
    <t>https://www.ozon.ru/product/1628724774</t>
  </si>
  <si>
    <t>https://www.ozon.ru/product/2718393125</t>
  </si>
  <si>
    <t>https://www.ozon.ru/product/1952268917</t>
  </si>
  <si>
    <t>WeenGo</t>
  </si>
  <si>
    <t>UNIX</t>
  </si>
  <si>
    <t>https://www.ozon.ru/product/3163921524</t>
  </si>
  <si>
    <t>https://www.ozon.ru/product/2222816137</t>
  </si>
  <si>
    <t>https://www.ozon.ru/product/1345790538</t>
  </si>
  <si>
    <t>Старт Лайн</t>
  </si>
  <si>
    <t>https://www.ozon.ru/product/2718107385</t>
  </si>
  <si>
    <t>https://www.ozon.ru/product/2657848170</t>
  </si>
  <si>
    <t>https://www.ozon.ru/product/204617265</t>
  </si>
  <si>
    <t>Аэрохоккей настольный 91х48х24 см</t>
  </si>
  <si>
    <t>https://www.ozon.ru/product/1310681915</t>
  </si>
  <si>
    <t>https://www.ozon.ru/product/3163908746</t>
  </si>
  <si>
    <t>https://www.ozon.ru/product/1310689366</t>
  </si>
  <si>
    <t>https://www.ozon.ru/product/218469389</t>
  </si>
  <si>
    <t>https://www.ozon.ru/product/2760068566</t>
  </si>
  <si>
    <t>https://www.ozon.ru/product/2222735776</t>
  </si>
  <si>
    <t>https://www.ozon.ru/product/2302504008</t>
  </si>
  <si>
    <t>https://www.ozon.ru/product/2302515750</t>
  </si>
  <si>
    <t>https://www.ozon.ru/product/466897050</t>
  </si>
  <si>
    <t>Sundays</t>
  </si>
  <si>
    <t>https://www.ozon.ru/product/1349852752</t>
  </si>
  <si>
    <t>https://www.ozon.ru/product/1618663311</t>
  </si>
  <si>
    <t>https://www.ozon.ru/product/1587338711</t>
  </si>
  <si>
    <t>https://www.ozon.ru/product/3734926963</t>
  </si>
  <si>
    <t>https://www.ozon.ru/product/1378990796</t>
  </si>
  <si>
    <t>https://www.ozon.ru/product/799792412</t>
  </si>
  <si>
    <t>https://www.ozon.ru/product/594635191</t>
  </si>
  <si>
    <t>https://www.ozon.ru/product/3562768326</t>
  </si>
  <si>
    <t>https://www.ozon.ru/product/1781402899</t>
  </si>
  <si>
    <t>https://www.ozon.ru/product/3673839652</t>
  </si>
  <si>
    <t>https://www.ozon.ru/product/2718009830</t>
  </si>
  <si>
    <t>https://www.ozon.ru/product/799792341</t>
  </si>
  <si>
    <t>https://www.ozon.ru/product/1379086680</t>
  </si>
  <si>
    <t>https://www.ozon.ru/product/469069991</t>
  </si>
  <si>
    <t>https://www.ozon.ru/product/1345783544</t>
  </si>
  <si>
    <t>https://www.ozon.ru/product/799792404</t>
  </si>
  <si>
    <t>https://www.ozon.ru/product/823790370</t>
  </si>
  <si>
    <t>https://www.ozon.ru/product/1952272188</t>
  </si>
  <si>
    <t>https://www.ozon.ru/product/1952269118</t>
  </si>
  <si>
    <t>https://www.ozon.ru/product/1409600087</t>
  </si>
  <si>
    <t>https://www.ozon.ru/product/3214544528</t>
  </si>
  <si>
    <t>https://www.ozon.ru/product/1902409499</t>
  </si>
  <si>
    <t>https://www.ozon.ru/product/546724570</t>
  </si>
  <si>
    <t>BELBERG</t>
  </si>
  <si>
    <t>https://www.ozon.ru/product/1805886748</t>
  </si>
  <si>
    <t>ФОКСИ</t>
  </si>
  <si>
    <t>RIDEWELL</t>
  </si>
  <si>
    <t>https://www.ozon.ru/product/3761869872</t>
  </si>
  <si>
    <t>https://www.ozon.ru/product/3592300784</t>
  </si>
  <si>
    <t>https://www.ozon.ru/product/1614971246</t>
  </si>
  <si>
    <t>https://www.ozon.ru/product/1141532218</t>
  </si>
  <si>
    <t>https://www.ozon.ru/product/1902403685</t>
  </si>
  <si>
    <t>https://www.ozon.ru/product/781689583</t>
  </si>
  <si>
    <t>https://www.ozon.ru/product/3014985936</t>
  </si>
  <si>
    <t>https://www.ozon.ru/product/1781390969</t>
  </si>
  <si>
    <t>https://www.ozon.ru/product/218469713</t>
  </si>
  <si>
    <t>https://www.ozon.ru/product/1852207634</t>
  </si>
  <si>
    <t>https://www.ozon.ru/product/2855400690</t>
  </si>
  <si>
    <t>https://www.ozon.ru/product/3734852114</t>
  </si>
  <si>
    <t>https://www.ozon.ru/product/1349782338</t>
  </si>
  <si>
    <t>https://www.ozon.ru/product/963967017</t>
  </si>
  <si>
    <t>Amico</t>
  </si>
  <si>
    <t>Veld Co</t>
  </si>
  <si>
    <t>https://www.ozon.ru/product/1782081911</t>
  </si>
  <si>
    <t>https://www.ozon.ru/product/1349884198</t>
  </si>
  <si>
    <t>https://www.ozon.ru/product/985876197</t>
  </si>
  <si>
    <t>https://www.ozon.ru/product/3734901267</t>
  </si>
  <si>
    <t>https://www.ozon.ru/product/977499955</t>
  </si>
  <si>
    <t>https://www.ozon.ru/product/376153679</t>
  </si>
  <si>
    <t>https://www.ozon.ru/product/1350423000</t>
  </si>
  <si>
    <t>https://www.ozon.ru/product/1350020082</t>
  </si>
  <si>
    <t>https://www.ozon.ru/product/799792437</t>
  </si>
  <si>
    <t>https://www.ozon.ru/product/3734868725</t>
  </si>
  <si>
    <t>https://www.ozon.ru/product/376152604</t>
  </si>
  <si>
    <t>https://www.ozon.ru/product/813170786</t>
  </si>
  <si>
    <t>https://www.ozon.ru/product/1625920125</t>
  </si>
  <si>
    <t>https://www.ozon.ru/product/1852211245</t>
  </si>
  <si>
    <t>https://www.ozon.ru/product/538368953</t>
  </si>
  <si>
    <t>Заказов</t>
  </si>
  <si>
    <t>Оборот</t>
  </si>
  <si>
    <t>Категория/Рынок</t>
  </si>
  <si>
    <t>Дистребьютеры</t>
  </si>
  <si>
    <t>Их Бренды</t>
  </si>
  <si>
    <t>Weengo / Время Хоккея</t>
  </si>
  <si>
    <t>NN</t>
  </si>
  <si>
    <t>DFC ASTER 54" складной</t>
  </si>
  <si>
    <t>DFC Pearl / 122 x 60 см</t>
  </si>
  <si>
    <t>DFC 54" 136 x 74 см</t>
  </si>
  <si>
    <t>DFC RENWICK 48" LED 122 х 61 см</t>
  </si>
  <si>
    <t>DFC KORU 137 х 69 см</t>
  </si>
  <si>
    <t>DFC 135 x 65 см (54")</t>
  </si>
  <si>
    <t>DFC ZONE 48"</t>
  </si>
  <si>
    <t>DFC SIRIUS 40" JG-AT-14001</t>
  </si>
  <si>
    <t>DFC AT-230 54" 132 х 62 см</t>
  </si>
  <si>
    <t>DFC AT-205 54" 136 x 68 см</t>
  </si>
  <si>
    <t>DFC "BASTIA 4" складной</t>
  </si>
  <si>
    <t>DFC AZALEA</t>
  </si>
  <si>
    <t>DFC JUPITER</t>
  </si>
  <si>
    <t>DFC Boston2 складной 54"</t>
  </si>
  <si>
    <t>DFC "BASTIA 6" складной</t>
  </si>
  <si>
    <t>DFC MODO 54" JG-AT-131540</t>
  </si>
  <si>
    <t>DFC 48" 122 x 61см</t>
  </si>
  <si>
    <t>DFC CAMELLIA</t>
  </si>
  <si>
    <t>DFC SB-AT-3001</t>
  </si>
  <si>
    <t>DFC ENFORCER 54" 137 х 68 х 76 см складной</t>
  </si>
  <si>
    <t>75х37х9 см</t>
  </si>
  <si>
    <t>80,5х42х23,5см</t>
  </si>
  <si>
    <t>80х41х23 см</t>
  </si>
  <si>
    <t>С электронным счетчиком</t>
  </si>
  <si>
    <t>Детский 50х30х13 см</t>
  </si>
  <si>
    <t>От сети 80х42х65 см</t>
  </si>
  <si>
    <t>От сети 70х37х22.5 см</t>
  </si>
  <si>
    <t>От сети 70х37х64 см</t>
  </si>
  <si>
    <t>От сети 80х41х65см</t>
  </si>
  <si>
    <t>101х50 cм</t>
  </si>
  <si>
    <t>Мини 73х40 cм</t>
  </si>
  <si>
    <t>226х125 см с подсветкой, от сети</t>
  </si>
  <si>
    <t>155х76 cм, складной от сети</t>
  </si>
  <si>
    <t>214х112 cм от сети</t>
  </si>
  <si>
    <t>125х65 cм от сети</t>
  </si>
  <si>
    <t xml:space="preserve">Fortuna HR-30 Power Play Hybrid </t>
  </si>
  <si>
    <t>Fortuna Air Raider HD-50</t>
  </si>
  <si>
    <t>Fortuna HR-31 Blue Ice Hybrid</t>
  </si>
  <si>
    <t xml:space="preserve">Fortuna HDS-630 </t>
  </si>
  <si>
    <t>71х37х15</t>
  </si>
  <si>
    <t>DFC Championship 53" с подсветкой, складной, эл-счётчик</t>
  </si>
  <si>
    <t>DFC 122 x 61 см (48") дерево</t>
  </si>
  <si>
    <t>DFC 122 x 61 см (48") принт</t>
  </si>
  <si>
    <t>142х64 см от сети, эл-счётчик</t>
  </si>
  <si>
    <t>155х76 cм от сети, эл-счётчик</t>
  </si>
  <si>
    <t>ICE CITY от батареек</t>
  </si>
  <si>
    <t>Kids Ice 3 фута, от сети</t>
  </si>
  <si>
    <t>ICE PLANET 4 фута, складной</t>
  </si>
  <si>
    <t>ICE BEAT, от батареек</t>
  </si>
  <si>
    <t>START ICE SLP-4224A, складной</t>
  </si>
  <si>
    <t>ICE BLUSTER 4 фута</t>
  </si>
  <si>
    <t>BFG Ice Transform 5 (Аризона)</t>
  </si>
  <si>
    <t>BFG Ice Transform 5 (Индиго)</t>
  </si>
  <si>
    <t>70х36х20</t>
  </si>
  <si>
    <t>50х30х10</t>
  </si>
  <si>
    <t>Sundays GT-5427WM</t>
  </si>
  <si>
    <t>Sundays GT-2412 от батареек</t>
  </si>
  <si>
    <t>Veld Co 66х36х45</t>
  </si>
  <si>
    <t>Veld Co 75х38х10</t>
  </si>
  <si>
    <t>75х36х10</t>
  </si>
  <si>
    <t>3 фута</t>
  </si>
  <si>
    <t>4 фута</t>
  </si>
  <si>
    <t>5 фута</t>
  </si>
  <si>
    <t>6 фута</t>
  </si>
  <si>
    <t>7 фута</t>
  </si>
  <si>
    <t>DFC 40" 101 x 50 см светлый</t>
  </si>
  <si>
    <t>DFC 40" 101 x 50 см синий</t>
  </si>
  <si>
    <t>DFC 40" 101 x 50 см голубой</t>
  </si>
  <si>
    <t>DFC 40" 101 x 50 см тёмный</t>
  </si>
  <si>
    <t>DFC 54" 135 x 65 см светлый</t>
  </si>
  <si>
    <t>DFC 54" 136 x 68 см, эл-счётчик сверху</t>
  </si>
  <si>
    <t xml:space="preserve">DFC 54" 135 x 65 см эл-счётчик </t>
  </si>
  <si>
    <t xml:space="preserve"> "Vancouver"</t>
  </si>
  <si>
    <t>https://www.ozon.ru/product/aerohokkey-nastolnyy-detskiy-vremyahokkeya-mini-air-ot-seti-2214644525/</t>
  </si>
  <si>
    <t xml:space="preserve"> "Mini Air" 101х50х20</t>
  </si>
  <si>
    <t>https://www.ozon.ru/product/aerohokkey-bolshoy-weengo-jersey-skladnoy-ot-seti-1952270605/</t>
  </si>
  <si>
    <t>"Jersey" 122х60х77 складной</t>
  </si>
  <si>
    <t>Rider 152х76х81 складной, эл-счётчик</t>
  </si>
  <si>
    <t>https://www.ozon.ru/product/aerohokkey-bolshoy-skladnoy-rider-ot-seti-4220708193/</t>
  </si>
  <si>
    <t>"Falcon", 181х91х78 эл-счётчик</t>
  </si>
  <si>
    <t>"NEON-X" 183х102х79</t>
  </si>
  <si>
    <t>https://www.ozon.ru/product/aerohokkey-bolshoy-weengo-falcon-ot-seti-1952268683/</t>
  </si>
  <si>
    <t>NASHVILLE 137х69х81</t>
  </si>
  <si>
    <t>BELBERG PITTSBURG 135х66х79</t>
  </si>
  <si>
    <t>BELBERG NEVADA 137х69х79</t>
  </si>
  <si>
    <t>"Профессионал" 70х15 от батареек</t>
  </si>
  <si>
    <t>от сети (USB) или на батарейках 85х43х22</t>
  </si>
  <si>
    <t>Play Okay 70х39х10 от батареек</t>
  </si>
  <si>
    <t>ProXima Defense 36", 91х45х15</t>
  </si>
  <si>
    <t>DFC Championship 53" с подсветкой, складной</t>
  </si>
  <si>
    <t>"Fire and Ice" 137х69х79 с подсветкой, эл-счётчиком</t>
  </si>
  <si>
    <t>от кол-ва</t>
  </si>
  <si>
    <t>i Отн.Цены</t>
  </si>
  <si>
    <t>Средняя рыночная</t>
  </si>
  <si>
    <t>Получаем</t>
  </si>
  <si>
    <t>Артикул</t>
  </si>
  <si>
    <t>Название</t>
  </si>
  <si>
    <t>Себестоимость</t>
  </si>
  <si>
    <t>ДРР</t>
  </si>
  <si>
    <t>Эквайринг</t>
  </si>
  <si>
    <t>Вес бр, кг</t>
  </si>
  <si>
    <t>Длина</t>
  </si>
  <si>
    <t>Ширина</t>
  </si>
  <si>
    <t>Высота</t>
  </si>
  <si>
    <t>Объём, л</t>
  </si>
  <si>
    <t>Объ-вес</t>
  </si>
  <si>
    <t>Рассчёт</t>
  </si>
  <si>
    <t>Кросс-док</t>
  </si>
  <si>
    <t>Комиссия
 FBO</t>
  </si>
  <si>
    <t>Лог-ка FBO</t>
  </si>
  <si>
    <t>Последняя миля FBO</t>
  </si>
  <si>
    <t>Расход FBO</t>
  </si>
  <si>
    <t>Налог</t>
  </si>
  <si>
    <t>Наценка</t>
  </si>
  <si>
    <t>Ком-са
 FBS</t>
  </si>
  <si>
    <t>Приёмка FBS</t>
  </si>
  <si>
    <t>Лог-ка FBS</t>
  </si>
  <si>
    <t>Последняя миля FBS</t>
  </si>
  <si>
    <t>Расход FBS</t>
  </si>
  <si>
    <t>Ком-са
 rFBS</t>
  </si>
  <si>
    <t>Лог-ка, rFBS</t>
  </si>
  <si>
    <t>Расход rFBS</t>
  </si>
  <si>
    <t>53.002.06.0</t>
  </si>
  <si>
    <t>53.125.04.0</t>
  </si>
  <si>
    <t>50.020.05.0</t>
  </si>
  <si>
    <t>53.011.04.0</t>
  </si>
  <si>
    <t>53.135.06.0</t>
  </si>
  <si>
    <t>53.042.06.0</t>
  </si>
  <si>
    <t>53.048.07.0</t>
  </si>
  <si>
    <t>53.005.03.0</t>
  </si>
  <si>
    <t>-</t>
  </si>
  <si>
    <t>"Fire and Ice" 4ф</t>
  </si>
  <si>
    <t>"Jersey" 4ф</t>
  </si>
  <si>
    <t>"Rider" 5ф</t>
  </si>
  <si>
    <t>"Falcon" 6ф</t>
  </si>
  <si>
    <t>"NEON-X" 6ф</t>
  </si>
  <si>
    <t>"Vancouver" 7ф</t>
  </si>
  <si>
    <t>"Mini-Air" 3ф</t>
  </si>
  <si>
    <t>опт</t>
  </si>
  <si>
    <t>опт+10</t>
  </si>
  <si>
    <t>"Tribute" 6 ф</t>
  </si>
  <si>
    <t>Цена для покупателя</t>
  </si>
  <si>
    <t>Расчётная</t>
  </si>
  <si>
    <t>rFBS</t>
  </si>
  <si>
    <t>Скидка Озон</t>
  </si>
  <si>
    <t>дизайн</t>
  </si>
  <si>
    <t>-3 фута</t>
  </si>
  <si>
    <t>монетизация уч</t>
  </si>
  <si>
    <t>Сгруппируйте товары по кластерам</t>
  </si>
  <si>
    <t>посчитайте средний CTR</t>
  </si>
  <si>
    <t>среднюю цену в каждом</t>
  </si>
  <si>
    <t>постройте scatter plot «Price vs CTR»</t>
  </si>
  <si>
    <t>Relative Price Index + эластичность.
Комбинированная метрика — можно создать скоринг</t>
  </si>
  <si>
    <t>+</t>
  </si>
  <si>
    <t>Продано, шт.</t>
  </si>
  <si>
    <t>Start Play/BFG/BOR 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</si>
</sst>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₽&quot;"/>
    <numFmt numFmtId="165" formatCode="0.0%"/>
    <numFmt numFmtId="166" formatCode="#,##0.00\ &quot;₽&quot;"/>
    <numFmt numFmtId="167" formatCode="#,##0.000"/>
  </numFmts>
  <fonts count="28" x14ac:knownFonts="1">
    <font>
      <sz val="11"/>
      <color theme="1"/>
      <name val="Calibri"/>
      <family val="2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 Light"/>
      <family val="2"/>
      <charset val="204"/>
      <scheme val="maj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4"/>
      <color rgb="FFFF0000"/>
      <name val="Calibri"/>
      <family val="2"/>
    </font>
    <font>
      <u/>
      <sz val="11"/>
      <color theme="10"/>
      <name val="Calibri"/>
      <family val="2"/>
    </font>
    <font>
      <sz val="14"/>
      <name val="Calibri"/>
      <family val="2"/>
    </font>
    <font>
      <u/>
      <sz val="14"/>
      <color theme="10"/>
      <name val="Calibri"/>
      <family val="2"/>
    </font>
    <font>
      <b/>
      <sz val="14"/>
      <color theme="1"/>
      <name val="Calibri"/>
      <family val="2"/>
      <charset val="204"/>
    </font>
    <font>
      <b/>
      <sz val="12"/>
      <color theme="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  <charset val="204"/>
    </font>
    <font>
      <b/>
      <sz val="12"/>
      <color rgb="FF000000"/>
      <name val="Calibri"/>
      <family val="2"/>
    </font>
    <font>
      <sz val="10"/>
      <name val="Calibri"/>
      <family val="2"/>
      <charset val="204"/>
    </font>
    <font>
      <sz val="10"/>
      <color rgb="FF000000"/>
      <name val="Calibri"/>
      <family val="2"/>
    </font>
    <font>
      <sz val="10"/>
      <color rgb="FF00B050"/>
      <name val="Calibri"/>
      <family val="2"/>
    </font>
    <font>
      <b/>
      <sz val="10"/>
      <color theme="0"/>
      <name val="Calibri"/>
      <family val="2"/>
    </font>
    <font>
      <sz val="12"/>
      <color rgb="FF000000"/>
      <name val="Calibri"/>
      <family val="2"/>
    </font>
    <font>
      <sz val="10"/>
      <color rgb="FFFF0000"/>
      <name val="Calibri"/>
      <family val="2"/>
      <charset val="204"/>
    </font>
    <font>
      <b/>
      <sz val="10"/>
      <color rgb="FFFF0000"/>
      <name val="Calibri"/>
      <family val="2"/>
      <charset val="204"/>
    </font>
    <font>
      <sz val="12"/>
      <color rgb="FFFF0000"/>
      <name val="Calibri"/>
      <family val="2"/>
      <charset val="204"/>
    </font>
    <font>
      <sz val="10"/>
      <color rgb="FF00B050"/>
      <name val="Calibri"/>
      <family val="2"/>
      <charset val="204"/>
    </font>
    <font>
      <sz val="12"/>
      <color rgb="FFFF0000"/>
      <name val="Verdana"/>
      <family val="2"/>
    </font>
    <font>
      <sz val="12"/>
      <name val="Verdana"/>
      <family val="2"/>
      <charset val="204"/>
    </font>
    <font>
      <sz val="12"/>
      <name val="Verdana"/>
      <family val="2"/>
    </font>
    <font>
      <sz val="11"/>
      <color rgb="FF555555"/>
      <name val="Arial"/>
      <family val="2"/>
      <charset val="204"/>
    </font>
    <font>
      <b/>
      <sz val="10"/>
      <color rgb="FF000000"/>
      <name val="Calibri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rgb="FFF2F2F2"/>
      </patternFill>
    </fill>
    <fill>
      <patternFill patternType="solid">
        <fgColor theme="1" tint="0.14999847407452621"/>
        <bgColor rgb="FFF2F2F2"/>
      </patternFill>
    </fill>
    <fill>
      <patternFill patternType="solid">
        <fgColor theme="0" tint="-0.249977111117893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0" tint="-0.49998474074526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2F2F2"/>
      </patternFill>
    </fill>
  </fills>
  <borders count="40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medium">
        <color indexed="64"/>
      </right>
      <top/>
      <bottom style="thin">
        <color rgb="FFAAAAAA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AAAAA"/>
      </left>
      <right style="medium">
        <color indexed="64"/>
      </right>
      <top style="thin">
        <color indexed="64"/>
      </top>
      <bottom style="thin">
        <color rgb="FFAAAAAA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AAAAAA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 style="thin">
        <color indexed="64"/>
      </left>
      <right style="thin">
        <color rgb="FFAAAAAA"/>
      </right>
      <top style="thin">
        <color indexed="64"/>
      </top>
      <bottom style="thin">
        <color rgb="FFAAAAAA"/>
      </bottom>
      <diagonal/>
    </border>
    <border>
      <left style="thin">
        <color indexed="64"/>
      </left>
      <right/>
      <top/>
      <bottom style="thin">
        <color rgb="FFAAAAAA"/>
      </bottom>
      <diagonal/>
    </border>
    <border>
      <left style="medium">
        <color indexed="64"/>
      </left>
      <right style="thin">
        <color rgb="FFAAAAAA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indexed="64"/>
      </top>
      <bottom/>
      <diagonal/>
    </border>
    <border>
      <left style="thin">
        <color rgb="FFAAAAAA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AAAAAA"/>
      </right>
      <top style="thin">
        <color indexed="64"/>
      </top>
      <bottom style="thin">
        <color rgb="FFAAAAAA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thick">
        <color rgb="FFFFFFFF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65">
    <xf numFmtId="0" fontId="0" fillId="0" borderId="0" xfId="0"/>
    <xf numFmtId="0" fontId="3" fillId="0" borderId="5" xfId="0" applyFont="1" applyBorder="1" applyAlignment="1">
      <alignment horizont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4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0" fillId="0" borderId="5" xfId="0" applyBorder="1"/>
    <xf numFmtId="0" fontId="0" fillId="0" borderId="6" xfId="0" applyBorder="1"/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0" borderId="5" xfId="0" applyFont="1" applyBorder="1"/>
    <xf numFmtId="0" fontId="4" fillId="2" borderId="7" xfId="0" applyFont="1" applyFill="1" applyBorder="1"/>
    <xf numFmtId="0" fontId="4" fillId="0" borderId="1" xfId="0" applyFont="1" applyBorder="1"/>
    <xf numFmtId="165" fontId="4" fillId="0" borderId="14" xfId="0" applyNumberFormat="1" applyFont="1" applyBorder="1"/>
    <xf numFmtId="0" fontId="4" fillId="0" borderId="15" xfId="0" applyFont="1" applyBorder="1"/>
    <xf numFmtId="0" fontId="4" fillId="0" borderId="1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3" fillId="0" borderId="6" xfId="0" applyFont="1" applyBorder="1"/>
    <xf numFmtId="0" fontId="4" fillId="0" borderId="5" xfId="0" applyFont="1" applyBorder="1"/>
    <xf numFmtId="0" fontId="4" fillId="0" borderId="0" xfId="0" applyFont="1" applyAlignment="1">
      <alignment horizontal="right"/>
    </xf>
    <xf numFmtId="0" fontId="4" fillId="0" borderId="6" xfId="0" applyFont="1" applyBorder="1" applyAlignment="1">
      <alignment horizontal="right"/>
    </xf>
    <xf numFmtId="0" fontId="8" fillId="0" borderId="1" xfId="2" applyFont="1" applyBorder="1"/>
    <xf numFmtId="165" fontId="4" fillId="2" borderId="7" xfId="0" applyNumberFormat="1" applyFont="1" applyFill="1" applyBorder="1"/>
    <xf numFmtId="0" fontId="4" fillId="2" borderId="7" xfId="0" applyFont="1" applyFill="1" applyBorder="1" applyAlignment="1">
      <alignment horizontal="right"/>
    </xf>
    <xf numFmtId="0" fontId="2" fillId="3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2" fillId="3" borderId="18" xfId="0" applyFont="1" applyFill="1" applyBorder="1" applyAlignment="1">
      <alignment horizontal="center" vertical="center"/>
    </xf>
    <xf numFmtId="0" fontId="4" fillId="0" borderId="16" xfId="0" applyFont="1" applyBorder="1"/>
    <xf numFmtId="0" fontId="3" fillId="0" borderId="16" xfId="0" applyFont="1" applyBorder="1"/>
    <xf numFmtId="0" fontId="4" fillId="2" borderId="8" xfId="0" applyFont="1" applyFill="1" applyBorder="1"/>
    <xf numFmtId="0" fontId="4" fillId="2" borderId="9" xfId="0" applyFont="1" applyFill="1" applyBorder="1"/>
    <xf numFmtId="0" fontId="0" fillId="0" borderId="12" xfId="0" applyBorder="1"/>
    <xf numFmtId="165" fontId="3" fillId="0" borderId="6" xfId="0" applyNumberFormat="1" applyFont="1" applyBorder="1" applyAlignment="1">
      <alignment horizontal="right" vertical="center"/>
    </xf>
    <xf numFmtId="0" fontId="7" fillId="0" borderId="15" xfId="0" applyFont="1" applyBorder="1"/>
    <xf numFmtId="10" fontId="3" fillId="0" borderId="0" xfId="0" applyNumberFormat="1" applyFont="1"/>
    <xf numFmtId="0" fontId="3" fillId="0" borderId="11" xfId="0" applyFont="1" applyBorder="1"/>
    <xf numFmtId="0" fontId="3" fillId="0" borderId="13" xfId="0" applyFont="1" applyBorder="1"/>
    <xf numFmtId="0" fontId="2" fillId="0" borderId="11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3" fillId="0" borderId="12" xfId="0" applyFont="1" applyBorder="1"/>
    <xf numFmtId="164" fontId="3" fillId="0" borderId="12" xfId="0" applyNumberFormat="1" applyFont="1" applyBorder="1"/>
    <xf numFmtId="165" fontId="3" fillId="0" borderId="13" xfId="0" applyNumberFormat="1" applyFont="1" applyBorder="1"/>
    <xf numFmtId="0" fontId="3" fillId="0" borderId="19" xfId="0" applyFont="1" applyBorder="1"/>
    <xf numFmtId="0" fontId="4" fillId="0" borderId="20" xfId="0" applyFont="1" applyBorder="1"/>
    <xf numFmtId="0" fontId="3" fillId="0" borderId="21" xfId="0" applyFont="1" applyBorder="1" applyAlignment="1">
      <alignment horizontal="center"/>
    </xf>
    <xf numFmtId="164" fontId="3" fillId="0" borderId="22" xfId="0" applyNumberFormat="1" applyFont="1" applyBorder="1" applyAlignment="1">
      <alignment horizontal="right"/>
    </xf>
    <xf numFmtId="165" fontId="3" fillId="0" borderId="23" xfId="0" applyNumberFormat="1" applyFont="1" applyBorder="1" applyAlignment="1">
      <alignment horizontal="right" vertical="center"/>
    </xf>
    <xf numFmtId="0" fontId="3" fillId="0" borderId="21" xfId="0" applyFont="1" applyBorder="1"/>
    <xf numFmtId="0" fontId="3" fillId="0" borderId="22" xfId="0" applyFont="1" applyBorder="1"/>
    <xf numFmtId="10" fontId="3" fillId="0" borderId="22" xfId="0" applyNumberFormat="1" applyFont="1" applyBorder="1"/>
    <xf numFmtId="164" fontId="3" fillId="0" borderId="23" xfId="0" applyNumberFormat="1" applyFont="1" applyBorder="1"/>
    <xf numFmtId="164" fontId="3" fillId="0" borderId="22" xfId="0" applyNumberFormat="1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6" xfId="0" applyFont="1" applyBorder="1"/>
    <xf numFmtId="0" fontId="3" fillId="0" borderId="27" xfId="0" applyFont="1" applyBorder="1" applyAlignment="1">
      <alignment horizontal="center"/>
    </xf>
    <xf numFmtId="164" fontId="3" fillId="0" borderId="28" xfId="0" applyNumberFormat="1" applyFont="1" applyBorder="1" applyAlignment="1">
      <alignment horizontal="right"/>
    </xf>
    <xf numFmtId="165" fontId="3" fillId="0" borderId="29" xfId="0" applyNumberFormat="1" applyFont="1" applyBorder="1" applyAlignment="1">
      <alignment horizontal="right" vertical="center"/>
    </xf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4" fillId="0" borderId="28" xfId="0" applyFont="1" applyBorder="1"/>
    <xf numFmtId="0" fontId="4" fillId="0" borderId="28" xfId="0" applyFont="1" applyBorder="1" applyAlignment="1">
      <alignment horizontal="right"/>
    </xf>
    <xf numFmtId="0" fontId="4" fillId="0" borderId="29" xfId="0" applyFont="1" applyBorder="1" applyAlignment="1">
      <alignment horizontal="right"/>
    </xf>
    <xf numFmtId="0" fontId="4" fillId="0" borderId="30" xfId="0" applyFont="1" applyBorder="1"/>
    <xf numFmtId="0" fontId="4" fillId="0" borderId="30" xfId="0" applyFont="1" applyBorder="1" applyAlignment="1">
      <alignment horizontal="right"/>
    </xf>
    <xf numFmtId="0" fontId="4" fillId="0" borderId="31" xfId="0" applyFont="1" applyBorder="1"/>
    <xf numFmtId="0" fontId="3" fillId="0" borderId="23" xfId="0" applyFont="1" applyBorder="1"/>
    <xf numFmtId="0" fontId="4" fillId="0" borderId="32" xfId="0" applyFont="1" applyBorder="1"/>
    <xf numFmtId="0" fontId="4" fillId="0" borderId="25" xfId="0" applyFont="1" applyBorder="1"/>
    <xf numFmtId="0" fontId="4" fillId="0" borderId="33" xfId="0" applyFont="1" applyBorder="1"/>
    <xf numFmtId="0" fontId="4" fillId="0" borderId="26" xfId="0" applyFont="1" applyBorder="1" applyAlignment="1">
      <alignment horizontal="right"/>
    </xf>
    <xf numFmtId="0" fontId="4" fillId="0" borderId="34" xfId="0" applyFont="1" applyBorder="1"/>
    <xf numFmtId="0" fontId="3" fillId="0" borderId="20" xfId="0" applyFont="1" applyBorder="1"/>
    <xf numFmtId="0" fontId="4" fillId="0" borderId="20" xfId="0" applyFont="1" applyBorder="1" applyAlignment="1">
      <alignment horizontal="right"/>
    </xf>
    <xf numFmtId="166" fontId="3" fillId="0" borderId="22" xfId="0" applyNumberFormat="1" applyFont="1" applyBorder="1"/>
    <xf numFmtId="0" fontId="4" fillId="0" borderId="24" xfId="0" applyFont="1" applyBorder="1"/>
    <xf numFmtId="0" fontId="3" fillId="0" borderId="26" xfId="0" applyFont="1" applyBorder="1"/>
    <xf numFmtId="0" fontId="4" fillId="0" borderId="19" xfId="0" applyFont="1" applyBorder="1"/>
    <xf numFmtId="0" fontId="3" fillId="0" borderId="31" xfId="0" applyFont="1" applyBorder="1"/>
    <xf numFmtId="0" fontId="7" fillId="0" borderId="33" xfId="0" applyFont="1" applyBorder="1"/>
    <xf numFmtId="0" fontId="4" fillId="0" borderId="35" xfId="0" applyFont="1" applyBorder="1"/>
    <xf numFmtId="0" fontId="4" fillId="0" borderId="23" xfId="0" applyFont="1" applyBorder="1"/>
    <xf numFmtId="0" fontId="4" fillId="0" borderId="29" xfId="0" applyFont="1" applyBorder="1"/>
    <xf numFmtId="0" fontId="4" fillId="0" borderId="36" xfId="0" applyFont="1" applyBorder="1" applyAlignment="1">
      <alignment horizontal="right"/>
    </xf>
    <xf numFmtId="0" fontId="4" fillId="2" borderId="9" xfId="0" applyFont="1" applyFill="1" applyBorder="1" applyAlignment="1">
      <alignment horizontal="right"/>
    </xf>
    <xf numFmtId="0" fontId="4" fillId="0" borderId="37" xfId="0" applyFont="1" applyBorder="1" applyAlignment="1">
      <alignment horizontal="right"/>
    </xf>
    <xf numFmtId="0" fontId="4" fillId="0" borderId="27" xfId="0" applyFont="1" applyBorder="1"/>
    <xf numFmtId="165" fontId="3" fillId="0" borderId="0" xfId="0" applyNumberFormat="1" applyFont="1"/>
    <xf numFmtId="165" fontId="3" fillId="0" borderId="28" xfId="0" applyNumberFormat="1" applyFont="1" applyBorder="1"/>
    <xf numFmtId="0" fontId="3" fillId="2" borderId="8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2" fontId="3" fillId="0" borderId="24" xfId="0" applyNumberFormat="1" applyFont="1" applyBorder="1"/>
    <xf numFmtId="0" fontId="7" fillId="0" borderId="35" xfId="0" applyFont="1" applyBorder="1"/>
    <xf numFmtId="0" fontId="7" fillId="0" borderId="36" xfId="0" applyFont="1" applyBorder="1"/>
    <xf numFmtId="0" fontId="7" fillId="0" borderId="21" xfId="0" applyFont="1" applyBorder="1" applyAlignment="1">
      <alignment horizontal="center"/>
    </xf>
    <xf numFmtId="164" fontId="7" fillId="0" borderId="22" xfId="0" applyNumberFormat="1" applyFont="1" applyBorder="1" applyAlignment="1">
      <alignment horizontal="right"/>
    </xf>
    <xf numFmtId="2" fontId="7" fillId="0" borderId="24" xfId="0" applyNumberFormat="1" applyFont="1" applyBorder="1"/>
    <xf numFmtId="0" fontId="7" fillId="0" borderId="16" xfId="0" applyFont="1" applyBorder="1"/>
    <xf numFmtId="0" fontId="7" fillId="2" borderId="8" xfId="0" applyFont="1" applyFill="1" applyBorder="1" applyAlignment="1">
      <alignment vertical="center"/>
    </xf>
    <xf numFmtId="164" fontId="7" fillId="0" borderId="0" xfId="0" applyNumberFormat="1" applyFont="1" applyAlignment="1">
      <alignment horizontal="right"/>
    </xf>
    <xf numFmtId="0" fontId="5" fillId="2" borderId="8" xfId="0" applyFont="1" applyFill="1" applyBorder="1"/>
    <xf numFmtId="165" fontId="3" fillId="0" borderId="22" xfId="0" applyNumberFormat="1" applyFont="1" applyBorder="1"/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38" xfId="0" applyFont="1" applyFill="1" applyBorder="1" applyAlignment="1">
      <alignment horizontal="center" vertical="center" wrapText="1"/>
    </xf>
    <xf numFmtId="1" fontId="10" fillId="6" borderId="38" xfId="0" applyNumberFormat="1" applyFont="1" applyFill="1" applyBorder="1" applyAlignment="1">
      <alignment horizontal="center" vertical="center" wrapText="1"/>
    </xf>
    <xf numFmtId="2" fontId="11" fillId="7" borderId="38" xfId="0" applyNumberFormat="1" applyFont="1" applyFill="1" applyBorder="1" applyAlignment="1">
      <alignment horizontal="center" vertical="center" wrapText="1"/>
    </xf>
    <xf numFmtId="2" fontId="12" fillId="8" borderId="38" xfId="0" applyNumberFormat="1" applyFont="1" applyFill="1" applyBorder="1" applyAlignment="1">
      <alignment horizontal="center" vertical="center" wrapText="1"/>
    </xf>
    <xf numFmtId="2" fontId="11" fillId="9" borderId="38" xfId="0" applyNumberFormat="1" applyFont="1" applyFill="1" applyBorder="1" applyAlignment="1">
      <alignment horizontal="center" vertical="center" wrapText="1"/>
    </xf>
    <xf numFmtId="165" fontId="11" fillId="9" borderId="38" xfId="0" applyNumberFormat="1" applyFont="1" applyFill="1" applyBorder="1" applyAlignment="1">
      <alignment horizontal="center" vertical="center" wrapText="1"/>
    </xf>
    <xf numFmtId="2" fontId="13" fillId="8" borderId="38" xfId="0" applyNumberFormat="1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5" fillId="8" borderId="38" xfId="0" applyFont="1" applyFill="1" applyBorder="1" applyAlignment="1">
      <alignment horizontal="center" vertical="center" wrapText="1"/>
    </xf>
    <xf numFmtId="164" fontId="15" fillId="8" borderId="38" xfId="0" applyNumberFormat="1" applyFont="1" applyFill="1" applyBorder="1" applyAlignment="1">
      <alignment horizontal="center" vertical="center" wrapText="1"/>
    </xf>
    <xf numFmtId="164" fontId="16" fillId="8" borderId="38" xfId="0" applyNumberFormat="1" applyFont="1" applyFill="1" applyBorder="1" applyAlignment="1">
      <alignment horizontal="center" vertical="center" wrapText="1"/>
    </xf>
    <xf numFmtId="1" fontId="17" fillId="10" borderId="38" xfId="0" applyNumberFormat="1" applyFont="1" applyFill="1" applyBorder="1" applyAlignment="1">
      <alignment horizontal="center" vertical="center" wrapText="1"/>
    </xf>
    <xf numFmtId="2" fontId="15" fillId="11" borderId="38" xfId="0" applyNumberFormat="1" applyFont="1" applyFill="1" applyBorder="1" applyAlignment="1">
      <alignment horizontal="center" vertical="center" wrapText="1"/>
    </xf>
    <xf numFmtId="2" fontId="14" fillId="11" borderId="38" xfId="0" applyNumberFormat="1" applyFont="1" applyFill="1" applyBorder="1" applyAlignment="1">
      <alignment horizontal="center" vertical="center" wrapText="1"/>
    </xf>
    <xf numFmtId="165" fontId="15" fillId="11" borderId="38" xfId="0" applyNumberFormat="1" applyFont="1" applyFill="1" applyBorder="1" applyAlignment="1">
      <alignment horizontal="center" vertical="center" wrapText="1"/>
    </xf>
    <xf numFmtId="2" fontId="18" fillId="8" borderId="0" xfId="0" applyNumberFormat="1" applyFont="1" applyFill="1" applyAlignment="1">
      <alignment horizontal="center" vertical="center" wrapText="1"/>
    </xf>
    <xf numFmtId="2" fontId="15" fillId="12" borderId="38" xfId="0" applyNumberFormat="1" applyFont="1" applyFill="1" applyBorder="1" applyAlignment="1">
      <alignment horizontal="center" vertical="center" wrapText="1"/>
    </xf>
    <xf numFmtId="165" fontId="15" fillId="12" borderId="38" xfId="0" applyNumberFormat="1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 wrapText="1"/>
    </xf>
    <xf numFmtId="164" fontId="19" fillId="8" borderId="38" xfId="0" applyNumberFormat="1" applyFont="1" applyFill="1" applyBorder="1" applyAlignment="1">
      <alignment horizontal="center" vertical="center" wrapText="1"/>
    </xf>
    <xf numFmtId="1" fontId="20" fillId="10" borderId="38" xfId="0" applyNumberFormat="1" applyFont="1" applyFill="1" applyBorder="1" applyAlignment="1">
      <alignment horizontal="center" vertical="center" wrapText="1"/>
    </xf>
    <xf numFmtId="2" fontId="21" fillId="8" borderId="0" xfId="0" applyNumberFormat="1" applyFont="1" applyFill="1" applyAlignment="1">
      <alignment horizontal="center" vertical="center" wrapText="1"/>
    </xf>
    <xf numFmtId="0" fontId="23" fillId="0" borderId="0" xfId="0" applyFont="1"/>
    <xf numFmtId="2" fontId="25" fillId="0" borderId="0" xfId="0" applyNumberFormat="1" applyFont="1"/>
    <xf numFmtId="0" fontId="19" fillId="8" borderId="0" xfId="0" applyFont="1" applyFill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2" fontId="24" fillId="0" borderId="0" xfId="0" applyNumberFormat="1" applyFont="1" applyAlignment="1">
      <alignment horizontal="center" vertical="center"/>
    </xf>
    <xf numFmtId="0" fontId="22" fillId="8" borderId="0" xfId="0" applyFont="1" applyFill="1" applyAlignment="1">
      <alignment horizontal="center" vertical="center" wrapText="1"/>
    </xf>
    <xf numFmtId="0" fontId="26" fillId="0" borderId="0" xfId="0" applyFont="1"/>
    <xf numFmtId="164" fontId="27" fillId="8" borderId="38" xfId="0" applyNumberFormat="1" applyFont="1" applyFill="1" applyBorder="1" applyAlignment="1">
      <alignment horizontal="center" vertical="center" wrapText="1"/>
    </xf>
    <xf numFmtId="2" fontId="15" fillId="13" borderId="38" xfId="0" applyNumberFormat="1" applyFont="1" applyFill="1" applyBorder="1" applyAlignment="1">
      <alignment horizontal="center" vertical="center" wrapText="1"/>
    </xf>
    <xf numFmtId="165" fontId="15" fillId="13" borderId="38" xfId="0" applyNumberFormat="1" applyFont="1" applyFill="1" applyBorder="1" applyAlignment="1">
      <alignment horizontal="center" vertical="center" wrapText="1"/>
    </xf>
    <xf numFmtId="2" fontId="11" fillId="15" borderId="38" xfId="0" applyNumberFormat="1" applyFont="1" applyFill="1" applyBorder="1" applyAlignment="1">
      <alignment horizontal="center" vertical="center" wrapText="1"/>
    </xf>
    <xf numFmtId="165" fontId="11" fillId="15" borderId="38" xfId="0" applyNumberFormat="1" applyFont="1" applyFill="1" applyBorder="1" applyAlignment="1">
      <alignment horizontal="center" vertical="center" wrapText="1"/>
    </xf>
    <xf numFmtId="2" fontId="11" fillId="18" borderId="38" xfId="0" applyNumberFormat="1" applyFont="1" applyFill="1" applyBorder="1" applyAlignment="1">
      <alignment horizontal="center" vertical="center" wrapText="1"/>
    </xf>
    <xf numFmtId="165" fontId="11" fillId="18" borderId="38" xfId="0" applyNumberFormat="1" applyFont="1" applyFill="1" applyBorder="1" applyAlignment="1">
      <alignment horizontal="center" vertical="center" wrapText="1"/>
    </xf>
    <xf numFmtId="167" fontId="15" fillId="8" borderId="38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166" fontId="9" fillId="4" borderId="5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2" fontId="0" fillId="17" borderId="39" xfId="0" applyNumberFormat="1" applyFill="1" applyBorder="1" applyAlignment="1">
      <alignment horizontal="center"/>
    </xf>
    <xf numFmtId="2" fontId="0" fillId="16" borderId="39" xfId="0" applyNumberFormat="1" applyFill="1" applyBorder="1" applyAlignment="1">
      <alignment horizontal="center"/>
    </xf>
    <xf numFmtId="2" fontId="0" fillId="14" borderId="39" xfId="0" applyNumberForma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3">
    <cellStyle name="Гиперссылка" xfId="2" builtinId="8"/>
    <cellStyle name="Обычный" xfId="0" builtinId="0"/>
    <cellStyle name="Обычный 2" xfId="1" xr:uid="{2434DAFD-A0DC-4CDF-9A7C-944EB8E3A03D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zon.ru/product/373490126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56C7-71BD-4191-8922-EED67357CE8C}">
  <dimension ref="A1:AJ71"/>
  <sheetViews>
    <sheetView tabSelected="1" zoomScale="85" zoomScaleNormal="85" workbookViewId="0">
      <selection activeCell="E88" sqref="E88"/>
    </sheetView>
  </sheetViews>
  <sheetFormatPr defaultRowHeight="15" outlineLevelRow="1" outlineLevelCol="1" x14ac:dyDescent="0.25"/>
  <cols>
    <col min="1" max="1" width="22.140625" style="9" bestFit="1" customWidth="1"/>
    <col min="2" max="2" width="29" style="10" bestFit="1" customWidth="1"/>
    <col min="3" max="3" width="18.5703125" style="9" bestFit="1" customWidth="1"/>
    <col min="4" max="4" width="16.28515625" bestFit="1" customWidth="1"/>
    <col min="5" max="5" width="13.140625" style="10" bestFit="1" customWidth="1"/>
    <col min="6" max="6" width="50.140625" style="9" hidden="1" customWidth="1" outlineLevel="1"/>
    <col min="7" max="7" width="6.5703125" hidden="1" customWidth="1" outlineLevel="1"/>
    <col min="8" max="8" width="11.28515625" hidden="1" customWidth="1" outlineLevel="1"/>
    <col min="9" max="9" width="14.5703125" bestFit="1" customWidth="1" collapsed="1"/>
    <col min="10" max="10" width="24.85546875" style="10" bestFit="1" customWidth="1"/>
    <col min="11" max="11" width="37.7109375" style="9" hidden="1" customWidth="1" outlineLevel="1"/>
    <col min="12" max="12" width="5.28515625" hidden="1" customWidth="1" outlineLevel="1"/>
    <col min="13" max="13" width="17" hidden="1" customWidth="1" outlineLevel="1"/>
    <col min="14" max="14" width="14.5703125" bestFit="1" customWidth="1" collapsed="1"/>
    <col min="15" max="15" width="24.85546875" style="10" bestFit="1" customWidth="1"/>
    <col min="16" max="16" width="69.85546875" style="9" hidden="1" customWidth="1" outlineLevel="1"/>
    <col min="17" max="17" width="7" hidden="1" customWidth="1" outlineLevel="1"/>
    <col min="18" max="18" width="11.28515625" hidden="1" customWidth="1" outlineLevel="1"/>
    <col min="19" max="19" width="14.5703125" bestFit="1" customWidth="1" collapsed="1"/>
    <col min="20" max="20" width="23.85546875" style="10" bestFit="1" customWidth="1"/>
    <col min="21" max="21" width="46.85546875" style="9" hidden="1" customWidth="1" outlineLevel="1"/>
    <col min="22" max="23" width="11.28515625" hidden="1" customWidth="1" outlineLevel="1"/>
    <col min="24" max="24" width="12.42578125" bestFit="1" customWidth="1" collapsed="1"/>
    <col min="25" max="25" width="23.85546875" style="10" bestFit="1" customWidth="1"/>
    <col min="26" max="26" width="38.5703125" style="9" hidden="1" customWidth="1" outlineLevel="1"/>
    <col min="27" max="28" width="11.28515625" hidden="1" customWidth="1" outlineLevel="1"/>
    <col min="29" max="29" width="12.42578125" bestFit="1" customWidth="1" collapsed="1"/>
    <col min="30" max="30" width="23.85546875" style="10" bestFit="1" customWidth="1"/>
    <col min="31" max="31" width="16.140625" style="9" hidden="1" customWidth="1" outlineLevel="1"/>
    <col min="32" max="33" width="11.28515625" hidden="1" customWidth="1" outlineLevel="1"/>
    <col min="34" max="34" width="12.5703125" bestFit="1" customWidth="1" collapsed="1"/>
    <col min="35" max="35" width="23.85546875" style="10" bestFit="1" customWidth="1"/>
  </cols>
  <sheetData>
    <row r="1" spans="1:35" ht="19.5" thickBot="1" x14ac:dyDescent="0.3">
      <c r="A1" s="29"/>
      <c r="B1" s="30"/>
      <c r="C1" s="29"/>
      <c r="D1" s="36"/>
      <c r="E1" s="30"/>
      <c r="F1" s="155" t="s">
        <v>253</v>
      </c>
      <c r="G1" s="153"/>
      <c r="H1" s="153"/>
      <c r="I1" s="153"/>
      <c r="J1" s="154"/>
      <c r="K1" s="152" t="s">
        <v>167</v>
      </c>
      <c r="L1" s="153"/>
      <c r="M1" s="153"/>
      <c r="N1" s="153"/>
      <c r="O1" s="154"/>
      <c r="P1" s="152" t="s">
        <v>168</v>
      </c>
      <c r="Q1" s="153"/>
      <c r="R1" s="153"/>
      <c r="S1" s="153"/>
      <c r="T1" s="154"/>
      <c r="U1" s="152" t="s">
        <v>169</v>
      </c>
      <c r="V1" s="153"/>
      <c r="W1" s="153"/>
      <c r="X1" s="153"/>
      <c r="Y1" s="154"/>
      <c r="Z1" s="152" t="s">
        <v>170</v>
      </c>
      <c r="AA1" s="153"/>
      <c r="AB1" s="153"/>
      <c r="AC1" s="153"/>
      <c r="AD1" s="154"/>
      <c r="AE1" s="152" t="s">
        <v>171</v>
      </c>
      <c r="AF1" s="153"/>
      <c r="AG1" s="153"/>
      <c r="AH1" s="153"/>
      <c r="AI1" s="154"/>
    </row>
    <row r="2" spans="1:35" ht="19.5" thickBot="1" x14ac:dyDescent="0.3">
      <c r="A2" s="28" t="s">
        <v>103</v>
      </c>
      <c r="B2" s="31" t="s">
        <v>104</v>
      </c>
      <c r="C2" s="11" t="s">
        <v>261</v>
      </c>
      <c r="D2" s="12" t="s">
        <v>101</v>
      </c>
      <c r="E2" s="13"/>
      <c r="F2" s="11" t="s">
        <v>100</v>
      </c>
      <c r="G2" s="12"/>
      <c r="H2" s="12"/>
      <c r="I2" s="12" t="s">
        <v>101</v>
      </c>
      <c r="J2" s="13" t="s">
        <v>102</v>
      </c>
      <c r="K2" s="11" t="s">
        <v>100</v>
      </c>
      <c r="L2" s="12"/>
      <c r="M2" s="12"/>
      <c r="N2" s="12" t="s">
        <v>101</v>
      </c>
      <c r="O2" s="13" t="s">
        <v>102</v>
      </c>
      <c r="P2" s="11" t="s">
        <v>100</v>
      </c>
      <c r="Q2" s="12"/>
      <c r="R2" s="12"/>
      <c r="S2" s="12" t="s">
        <v>101</v>
      </c>
      <c r="T2" s="13" t="s">
        <v>102</v>
      </c>
      <c r="U2" s="11" t="s">
        <v>100</v>
      </c>
      <c r="V2" s="12"/>
      <c r="W2" s="12"/>
      <c r="X2" s="12" t="s">
        <v>101</v>
      </c>
      <c r="Y2" s="13" t="s">
        <v>102</v>
      </c>
      <c r="Z2" s="11" t="s">
        <v>100</v>
      </c>
      <c r="AA2" s="12"/>
      <c r="AB2" s="12"/>
      <c r="AC2" s="12" t="s">
        <v>101</v>
      </c>
      <c r="AD2" s="13" t="s">
        <v>102</v>
      </c>
      <c r="AE2" s="11" t="s">
        <v>100</v>
      </c>
      <c r="AF2" s="12"/>
      <c r="AG2" s="12"/>
      <c r="AH2" s="12" t="s">
        <v>101</v>
      </c>
      <c r="AI2" s="13" t="s">
        <v>102</v>
      </c>
    </row>
    <row r="3" spans="1:35" s="45" customFormat="1" ht="18.75" x14ac:dyDescent="0.3">
      <c r="A3" s="40"/>
      <c r="B3" s="41"/>
      <c r="C3" s="42">
        <f>SUM(C4:C67)</f>
        <v>1360</v>
      </c>
      <c r="D3" s="43">
        <f>SUM(D4:D67)</f>
        <v>9730546</v>
      </c>
      <c r="E3" s="44"/>
      <c r="F3" s="40">
        <f>SUM(F4+F27+F38+F42+F45+F48+F54+F56+F65+F67+F51)</f>
        <v>706</v>
      </c>
      <c r="I3" s="46">
        <f>SUM(J4+J27+J38+J42+J45+J48+J54+J56+J65+J67+J51)</f>
        <v>2525462</v>
      </c>
      <c r="J3" s="47">
        <f>I3/D3</f>
        <v>0.25953959829181222</v>
      </c>
      <c r="K3" s="40">
        <f>SUM(K4+K27+K38+K42+K45+K48+K54+K56+K65+K67+K51)</f>
        <v>251</v>
      </c>
      <c r="N3" s="46">
        <f>SUM(O4+O27+O38+O42+O45+O48+O54+O56+O65+O67+O51)</f>
        <v>1483151</v>
      </c>
      <c r="O3" s="47">
        <f>N3/D3</f>
        <v>0.15242217651506915</v>
      </c>
      <c r="P3" s="40">
        <f>SUM(P4+P27+P38+P42+P45+P48+P54+P56+P65+P67+P51)</f>
        <v>344.00733745624859</v>
      </c>
      <c r="S3" s="46">
        <f>SUM(T4+T27+T38+T42+T45+T48+T54+T56+T65+T67+T51)</f>
        <v>3671027</v>
      </c>
      <c r="T3" s="47">
        <f>S3/D3</f>
        <v>0.3772683465038858</v>
      </c>
      <c r="U3" s="40">
        <f>SUM(U4+U27+U38+U42+U45+U48+U54+U56+U65+U67+U51)</f>
        <v>15</v>
      </c>
      <c r="X3" s="46">
        <f>SUM(Y4+Y27+Y38+Y42+Y45+Y48+Y54+Y56+Y65+Y67+Y51)</f>
        <v>341354</v>
      </c>
      <c r="Y3" s="47">
        <f>X3/D3</f>
        <v>3.5080662482865815E-2</v>
      </c>
      <c r="Z3" s="40">
        <f>SUM(Z4+Z27+Z38+Z42+Z45+Z48+Z54+Z56+Z65+Z67+Z51)</f>
        <v>29</v>
      </c>
      <c r="AC3" s="46">
        <f>SUM(AD4+AD27+AD38+AD42+AD45+AD48+AD54+AD56+AD65+AD67+AD51)</f>
        <v>897600</v>
      </c>
      <c r="AD3" s="47">
        <f>AC3/D3</f>
        <v>9.22455944404353E-2</v>
      </c>
      <c r="AE3" s="40">
        <f>SUM(AE4+AE27+AE38+AE42+AE45+AE48+AE54+AE56+AE65+AE67+AE51)</f>
        <v>7</v>
      </c>
      <c r="AH3" s="46">
        <f>SUM(AI4+AI27+AI38+AI42+AI45+AI48+AI54+AI56+AI65+AI67+AI51)</f>
        <v>751354</v>
      </c>
      <c r="AI3" s="47">
        <f>AH3/D3</f>
        <v>7.7216016449642183E-2</v>
      </c>
    </row>
    <row r="4" spans="1:35" s="54" customFormat="1" ht="18.75" x14ac:dyDescent="0.3">
      <c r="A4" s="48" t="s">
        <v>6</v>
      </c>
      <c r="B4" s="49" t="s">
        <v>7</v>
      </c>
      <c r="C4" s="50">
        <v>496</v>
      </c>
      <c r="D4" s="51">
        <v>4406606</v>
      </c>
      <c r="E4" s="52">
        <f>D4/D3</f>
        <v>0.45286317951736726</v>
      </c>
      <c r="F4" s="53">
        <v>2</v>
      </c>
      <c r="H4" s="99">
        <f>(F4/F3)/I4</f>
        <v>1.0162334213237187</v>
      </c>
      <c r="I4" s="55">
        <f>J4/I3</f>
        <v>2.7876087622779517E-3</v>
      </c>
      <c r="J4" s="56">
        <v>7040</v>
      </c>
      <c r="K4" s="53">
        <f>SUM(N5:N10)</f>
        <v>189</v>
      </c>
      <c r="M4" s="99">
        <f>(K4/K3)/N4</f>
        <v>1.0307909344774884</v>
      </c>
      <c r="N4" s="55">
        <f>O4/N3</f>
        <v>0.73049541145844221</v>
      </c>
      <c r="O4" s="56">
        <v>1083435</v>
      </c>
      <c r="P4" s="53">
        <f>SUM(S5:S26)</f>
        <v>303</v>
      </c>
      <c r="R4" s="99">
        <f>(P4/P3)/S4</f>
        <v>0.99595013844535563</v>
      </c>
      <c r="S4" s="109">
        <f>T4/S3</f>
        <v>0.88437676977042123</v>
      </c>
      <c r="T4" s="56">
        <v>3246571</v>
      </c>
      <c r="U4" s="53"/>
      <c r="W4" s="99" t="e">
        <f>(U4/U3)/X4</f>
        <v>#DIV/0!</v>
      </c>
      <c r="X4" s="55">
        <f>Y4/X3</f>
        <v>0</v>
      </c>
      <c r="Y4" s="56"/>
      <c r="Z4" s="53">
        <f>SUM(AC5:AC26)</f>
        <v>2</v>
      </c>
      <c r="AB4" s="99">
        <f>(Z4/Z3)/AC4</f>
        <v>0.88992881362653919</v>
      </c>
      <c r="AC4" s="55">
        <f>AD4/AC3</f>
        <v>7.7495543672014264E-2</v>
      </c>
      <c r="AD4" s="56">
        <v>69560</v>
      </c>
      <c r="AE4" s="53"/>
      <c r="AG4" s="99" t="e">
        <f>(AE4/AE3)/AH4</f>
        <v>#DIV/0!</v>
      </c>
      <c r="AH4" s="55">
        <f>AI4/AH3</f>
        <v>0</v>
      </c>
      <c r="AI4" s="56"/>
    </row>
    <row r="5" spans="1:35" s="7" customFormat="1" ht="19.5" hidden="1" outlineLevel="1" thickBot="1" x14ac:dyDescent="0.35">
      <c r="A5" s="99">
        <f>E4/E5</f>
        <v>1.2417216212572975</v>
      </c>
      <c r="B5" s="32" t="s">
        <v>199</v>
      </c>
      <c r="C5" s="1"/>
      <c r="D5" s="8" t="s">
        <v>198</v>
      </c>
      <c r="E5" s="37">
        <f>C4/C3</f>
        <v>0.36470588235294116</v>
      </c>
      <c r="F5" s="14" t="s">
        <v>125</v>
      </c>
      <c r="G5" s="16" t="s">
        <v>96</v>
      </c>
      <c r="H5" s="17">
        <f>(I5*J5)/J4</f>
        <v>1</v>
      </c>
      <c r="I5" s="7">
        <v>2</v>
      </c>
      <c r="J5" s="20">
        <v>3520</v>
      </c>
      <c r="K5" s="18" t="s">
        <v>175</v>
      </c>
      <c r="L5" s="16" t="s">
        <v>8</v>
      </c>
      <c r="M5" s="17">
        <f>(N5*O5)/O4</f>
        <v>0.39401348488834126</v>
      </c>
      <c r="N5" s="19">
        <v>77</v>
      </c>
      <c r="O5" s="20">
        <v>5544</v>
      </c>
      <c r="P5" s="18" t="s">
        <v>196</v>
      </c>
      <c r="Q5" s="16" t="s">
        <v>5</v>
      </c>
      <c r="R5" s="17">
        <f>(S5*T5)/T4</f>
        <v>0.13611345632053018</v>
      </c>
      <c r="S5" s="19">
        <v>38</v>
      </c>
      <c r="T5" s="20">
        <v>11629</v>
      </c>
      <c r="U5" s="14"/>
      <c r="Y5" s="21"/>
      <c r="Z5" s="18" t="s">
        <v>119</v>
      </c>
      <c r="AA5" s="16" t="s">
        <v>61</v>
      </c>
      <c r="AB5" s="17">
        <f>(AC5*AD5)/AD4</f>
        <v>0.62977285796434734</v>
      </c>
      <c r="AC5" s="19">
        <v>1</v>
      </c>
      <c r="AD5" s="20">
        <v>43807</v>
      </c>
      <c r="AE5" s="14"/>
      <c r="AI5" s="21"/>
    </row>
    <row r="6" spans="1:35" s="7" customFormat="1" ht="19.5" hidden="1" outlineLevel="1" thickBot="1" x14ac:dyDescent="0.35">
      <c r="A6" s="58"/>
      <c r="B6" s="32"/>
      <c r="C6" s="1"/>
      <c r="D6" s="8"/>
      <c r="E6" s="37"/>
      <c r="F6" s="14"/>
      <c r="J6" s="21"/>
      <c r="K6" s="18" t="s">
        <v>172</v>
      </c>
      <c r="L6" s="16" t="s">
        <v>20</v>
      </c>
      <c r="M6" s="17">
        <f>(N6*O6)/O4</f>
        <v>0.26680696119287267</v>
      </c>
      <c r="N6" s="19">
        <v>52</v>
      </c>
      <c r="O6" s="20">
        <v>5559</v>
      </c>
      <c r="P6" s="18" t="s">
        <v>107</v>
      </c>
      <c r="Q6" s="16" t="s">
        <v>9</v>
      </c>
      <c r="R6" s="17">
        <f>(S6*T6)/T4</f>
        <v>0.13011143141486817</v>
      </c>
      <c r="S6" s="19">
        <v>34</v>
      </c>
      <c r="T6" s="20">
        <v>12424</v>
      </c>
      <c r="U6" s="14"/>
      <c r="Y6" s="21"/>
      <c r="Z6" s="18" t="s">
        <v>121</v>
      </c>
      <c r="AA6" s="16" t="s">
        <v>72</v>
      </c>
      <c r="AB6" s="17">
        <f>(AC6*AD6)/AD5</f>
        <v>0.58787408405049424</v>
      </c>
      <c r="AC6" s="19">
        <v>1</v>
      </c>
      <c r="AD6" s="20">
        <v>25753</v>
      </c>
      <c r="AE6" s="14"/>
      <c r="AI6" s="21"/>
    </row>
    <row r="7" spans="1:35" s="7" customFormat="1" ht="19.5" hidden="1" outlineLevel="1" thickBot="1" x14ac:dyDescent="0.35">
      <c r="A7" s="58"/>
      <c r="B7" s="32"/>
      <c r="C7" s="1"/>
      <c r="D7" s="8"/>
      <c r="E7" s="37"/>
      <c r="F7" s="14"/>
      <c r="J7" s="21"/>
      <c r="K7" s="18" t="s">
        <v>174</v>
      </c>
      <c r="L7" s="16" t="s">
        <v>28</v>
      </c>
      <c r="M7" s="17">
        <f>(N7*O7)/O4</f>
        <v>0.17168911840581114</v>
      </c>
      <c r="N7" s="19">
        <v>34</v>
      </c>
      <c r="O7" s="20">
        <v>5471</v>
      </c>
      <c r="P7" s="18" t="s">
        <v>178</v>
      </c>
      <c r="Q7" s="16" t="s">
        <v>10</v>
      </c>
      <c r="R7" s="17">
        <f>(S7*T7)/T4</f>
        <v>0.12282867061893918</v>
      </c>
      <c r="S7" s="19">
        <v>44</v>
      </c>
      <c r="T7" s="20">
        <v>9063</v>
      </c>
      <c r="U7" s="14"/>
      <c r="Y7" s="21"/>
      <c r="Z7" s="14"/>
      <c r="AD7" s="21"/>
      <c r="AE7" s="14"/>
      <c r="AI7" s="21"/>
    </row>
    <row r="8" spans="1:35" s="7" customFormat="1" ht="19.5" hidden="1" outlineLevel="1" thickBot="1" x14ac:dyDescent="0.35">
      <c r="A8" s="58"/>
      <c r="B8" s="32"/>
      <c r="C8" s="1"/>
      <c r="D8" s="8"/>
      <c r="E8" s="37"/>
      <c r="F8" s="14"/>
      <c r="J8" s="21"/>
      <c r="K8" s="18" t="s">
        <v>114</v>
      </c>
      <c r="L8" s="16" t="s">
        <v>48</v>
      </c>
      <c r="M8" s="17">
        <f>(N8*O8)/O4</f>
        <v>6.7230613742402634E-2</v>
      </c>
      <c r="N8" s="19">
        <v>10</v>
      </c>
      <c r="O8" s="20">
        <v>7284</v>
      </c>
      <c r="P8" s="18" t="s">
        <v>147</v>
      </c>
      <c r="Q8" s="16" t="s">
        <v>11</v>
      </c>
      <c r="R8" s="17">
        <f>(S8*T8)/T4</f>
        <v>0.11855955098471588</v>
      </c>
      <c r="S8" s="19">
        <v>33</v>
      </c>
      <c r="T8" s="20">
        <v>11664</v>
      </c>
      <c r="U8" s="14"/>
      <c r="Y8" s="21"/>
      <c r="Z8" s="14"/>
      <c r="AD8" s="21"/>
      <c r="AE8" s="14"/>
      <c r="AI8" s="21"/>
    </row>
    <row r="9" spans="1:35" s="7" customFormat="1" ht="19.5" hidden="1" outlineLevel="1" thickBot="1" x14ac:dyDescent="0.35">
      <c r="A9" s="58"/>
      <c r="B9" s="32"/>
      <c r="C9" s="1"/>
      <c r="D9" s="8"/>
      <c r="E9" s="37"/>
      <c r="F9" s="14"/>
      <c r="J9" s="21"/>
      <c r="K9" s="18" t="s">
        <v>173</v>
      </c>
      <c r="L9" s="16" t="s">
        <v>52</v>
      </c>
      <c r="M9" s="17">
        <f>(N9*O9)/O4</f>
        <v>5.5000992214576785E-2</v>
      </c>
      <c r="N9" s="19">
        <v>10</v>
      </c>
      <c r="O9" s="20">
        <v>5959</v>
      </c>
      <c r="P9" s="18" t="s">
        <v>108</v>
      </c>
      <c r="Q9" s="16" t="s">
        <v>19</v>
      </c>
      <c r="R9" s="17">
        <f>(S9*T9)/T4</f>
        <v>8.9784883805097748E-2</v>
      </c>
      <c r="S9" s="19">
        <v>31</v>
      </c>
      <c r="T9" s="20">
        <v>9403</v>
      </c>
      <c r="U9" s="14"/>
      <c r="Y9" s="21"/>
      <c r="Z9" s="14"/>
      <c r="AD9" s="21"/>
      <c r="AE9" s="14"/>
      <c r="AI9" s="21"/>
    </row>
    <row r="10" spans="1:35" s="7" customFormat="1" ht="19.5" hidden="1" outlineLevel="1" thickBot="1" x14ac:dyDescent="0.35">
      <c r="A10" s="58"/>
      <c r="B10" s="32"/>
      <c r="C10" s="1"/>
      <c r="D10" s="8"/>
      <c r="E10" s="37"/>
      <c r="F10" s="14"/>
      <c r="J10" s="21"/>
      <c r="K10" s="18" t="s">
        <v>118</v>
      </c>
      <c r="L10" s="16" t="s">
        <v>57</v>
      </c>
      <c r="M10" s="17">
        <f>(N10*O10)/O4</f>
        <v>4.5283750294203159E-2</v>
      </c>
      <c r="N10" s="19">
        <v>6</v>
      </c>
      <c r="O10" s="20">
        <v>8177</v>
      </c>
      <c r="P10" s="38" t="s">
        <v>177</v>
      </c>
      <c r="Q10" s="16" t="s">
        <v>24</v>
      </c>
      <c r="R10" s="17">
        <f>(S10*T10)/T4</f>
        <v>8.2058578112106595E-2</v>
      </c>
      <c r="S10" s="19">
        <v>27</v>
      </c>
      <c r="T10" s="20">
        <v>9867</v>
      </c>
      <c r="U10" s="14"/>
      <c r="Y10" s="21"/>
      <c r="Z10" s="14"/>
      <c r="AD10" s="21"/>
      <c r="AE10" s="14"/>
      <c r="AI10" s="21"/>
    </row>
    <row r="11" spans="1:35" s="7" customFormat="1" ht="19.5" hidden="1" outlineLevel="1" thickBot="1" x14ac:dyDescent="0.35">
      <c r="A11" s="58"/>
      <c r="B11" s="32"/>
      <c r="C11" s="1"/>
      <c r="D11" s="8"/>
      <c r="E11" s="37"/>
      <c r="F11" s="14"/>
      <c r="J11" s="21"/>
      <c r="K11" s="22"/>
      <c r="L11" s="6"/>
      <c r="N11" s="23"/>
      <c r="O11" s="24"/>
      <c r="P11" s="18" t="s">
        <v>176</v>
      </c>
      <c r="Q11" s="16" t="s">
        <v>33</v>
      </c>
      <c r="R11" s="17">
        <f>(S11*T11)/T4</f>
        <v>4.7755000583692767E-2</v>
      </c>
      <c r="S11" s="19">
        <v>17</v>
      </c>
      <c r="T11" s="20">
        <v>9120</v>
      </c>
      <c r="U11" s="14"/>
      <c r="Y11" s="21"/>
      <c r="Z11" s="14"/>
      <c r="AD11" s="21"/>
      <c r="AE11" s="14"/>
      <c r="AI11" s="21"/>
    </row>
    <row r="12" spans="1:35" s="7" customFormat="1" ht="19.5" hidden="1" outlineLevel="1" thickBot="1" x14ac:dyDescent="0.35">
      <c r="A12" s="58"/>
      <c r="B12" s="32"/>
      <c r="C12" s="1"/>
      <c r="D12" s="8"/>
      <c r="E12" s="37"/>
      <c r="F12" s="14"/>
      <c r="J12" s="21"/>
      <c r="K12" s="22"/>
      <c r="L12" s="6"/>
      <c r="N12" s="23"/>
      <c r="O12" s="24"/>
      <c r="P12" s="18" t="s">
        <v>109</v>
      </c>
      <c r="Q12" s="16" t="s">
        <v>36</v>
      </c>
      <c r="R12" s="17">
        <f>(S12*T12)/T4</f>
        <v>4.439206781555062E-2</v>
      </c>
      <c r="S12" s="19">
        <v>11</v>
      </c>
      <c r="T12" s="20">
        <v>13102</v>
      </c>
      <c r="U12" s="14"/>
      <c r="Y12" s="21"/>
      <c r="Z12" s="14"/>
      <c r="AD12" s="21"/>
      <c r="AE12" s="14"/>
      <c r="AI12" s="21"/>
    </row>
    <row r="13" spans="1:35" s="7" customFormat="1" ht="19.5" hidden="1" outlineLevel="1" thickBot="1" x14ac:dyDescent="0.35">
      <c r="A13" s="58"/>
      <c r="B13" s="32"/>
      <c r="C13" s="1"/>
      <c r="D13" s="8"/>
      <c r="E13" s="37"/>
      <c r="F13" s="14"/>
      <c r="J13" s="21"/>
      <c r="K13" s="22"/>
      <c r="L13" s="6"/>
      <c r="N13" s="23"/>
      <c r="O13" s="24"/>
      <c r="P13" s="18" t="s">
        <v>110</v>
      </c>
      <c r="Q13" s="16" t="s">
        <v>38</v>
      </c>
      <c r="R13" s="17">
        <f>(S13*T13)/T4</f>
        <v>4.054308376437786E-2</v>
      </c>
      <c r="S13" s="19">
        <v>11</v>
      </c>
      <c r="T13" s="20">
        <v>11966</v>
      </c>
      <c r="U13" s="14"/>
      <c r="Y13" s="21"/>
      <c r="Z13" s="14"/>
      <c r="AD13" s="21"/>
      <c r="AE13" s="14"/>
      <c r="AI13" s="21"/>
    </row>
    <row r="14" spans="1:35" s="7" customFormat="1" ht="19.5" hidden="1" outlineLevel="1" thickBot="1" x14ac:dyDescent="0.35">
      <c r="A14" s="58"/>
      <c r="B14" s="32"/>
      <c r="C14" s="1"/>
      <c r="D14" s="8"/>
      <c r="E14" s="37"/>
      <c r="F14" s="14"/>
      <c r="J14" s="21"/>
      <c r="K14" s="22"/>
      <c r="L14" s="6"/>
      <c r="N14" s="23"/>
      <c r="O14" s="24"/>
      <c r="P14" s="18" t="s">
        <v>111</v>
      </c>
      <c r="Q14" s="16" t="s">
        <v>39</v>
      </c>
      <c r="R14" s="17">
        <f>(S14*T14)/T4</f>
        <v>3.2470258620556892E-2</v>
      </c>
      <c r="S14" s="19">
        <v>9</v>
      </c>
      <c r="T14" s="20">
        <v>11713</v>
      </c>
      <c r="U14" s="14"/>
      <c r="Y14" s="21"/>
      <c r="Z14" s="14"/>
      <c r="AD14" s="21"/>
      <c r="AE14" s="14"/>
      <c r="AI14" s="21"/>
    </row>
    <row r="15" spans="1:35" s="7" customFormat="1" ht="19.5" hidden="1" outlineLevel="1" thickBot="1" x14ac:dyDescent="0.35">
      <c r="A15" s="58"/>
      <c r="B15" s="32"/>
      <c r="C15" s="1"/>
      <c r="D15" s="8"/>
      <c r="E15" s="37"/>
      <c r="F15" s="14"/>
      <c r="J15" s="21"/>
      <c r="K15" s="22"/>
      <c r="L15" s="6"/>
      <c r="N15" s="23"/>
      <c r="O15" s="24"/>
      <c r="P15" s="18" t="s">
        <v>112</v>
      </c>
      <c r="Q15" s="16" t="s">
        <v>45</v>
      </c>
      <c r="R15" s="17">
        <f>(S15*T15)/T4</f>
        <v>2.512435428025446E-2</v>
      </c>
      <c r="S15" s="19">
        <v>8</v>
      </c>
      <c r="T15" s="20">
        <v>10196</v>
      </c>
      <c r="U15" s="14"/>
      <c r="Y15" s="21"/>
      <c r="Z15" s="14"/>
      <c r="AD15" s="21"/>
      <c r="AE15" s="14"/>
      <c r="AI15" s="21"/>
    </row>
    <row r="16" spans="1:35" s="7" customFormat="1" ht="19.5" hidden="1" outlineLevel="1" thickBot="1" x14ac:dyDescent="0.35">
      <c r="A16" s="58"/>
      <c r="B16" s="32"/>
      <c r="C16" s="1"/>
      <c r="D16" s="8"/>
      <c r="E16" s="37"/>
      <c r="F16" s="14"/>
      <c r="J16" s="21"/>
      <c r="K16" s="22"/>
      <c r="L16" s="6"/>
      <c r="N16" s="23"/>
      <c r="O16" s="24"/>
      <c r="P16" s="18" t="s">
        <v>113</v>
      </c>
      <c r="Q16" s="16" t="s">
        <v>47</v>
      </c>
      <c r="R16" s="17">
        <f>(S16*T16)/T4</f>
        <v>2.3718563370399109E-2</v>
      </c>
      <c r="S16" s="19">
        <v>9</v>
      </c>
      <c r="T16" s="20">
        <v>8556</v>
      </c>
      <c r="U16" s="14"/>
      <c r="Y16" s="21"/>
      <c r="Z16" s="14"/>
      <c r="AD16" s="21"/>
      <c r="AE16" s="14"/>
      <c r="AI16" s="21"/>
    </row>
    <row r="17" spans="1:35" s="7" customFormat="1" ht="19.5" hidden="1" outlineLevel="1" thickBot="1" x14ac:dyDescent="0.35">
      <c r="A17" s="58"/>
      <c r="B17" s="32"/>
      <c r="C17" s="1"/>
      <c r="D17" s="8"/>
      <c r="E17" s="37"/>
      <c r="F17" s="14"/>
      <c r="J17" s="21"/>
      <c r="K17" s="22"/>
      <c r="L17" s="6"/>
      <c r="N17" s="23"/>
      <c r="O17" s="24"/>
      <c r="P17" s="18" t="s">
        <v>115</v>
      </c>
      <c r="Q17" s="16" t="s">
        <v>49</v>
      </c>
      <c r="R17" s="17">
        <f>(S17*T17)/T4</f>
        <v>2.1271674021606179E-2</v>
      </c>
      <c r="S17" s="19">
        <v>6</v>
      </c>
      <c r="T17" s="20">
        <v>11510</v>
      </c>
      <c r="U17" s="14"/>
      <c r="Y17" s="21"/>
      <c r="Z17" s="14"/>
      <c r="AD17" s="21"/>
      <c r="AE17" s="14"/>
      <c r="AI17" s="21"/>
    </row>
    <row r="18" spans="1:35" s="7" customFormat="1" ht="19.5" hidden="1" outlineLevel="1" thickBot="1" x14ac:dyDescent="0.35">
      <c r="A18" s="58"/>
      <c r="B18" s="32"/>
      <c r="C18" s="1"/>
      <c r="D18" s="8"/>
      <c r="E18" s="37"/>
      <c r="F18" s="14"/>
      <c r="J18" s="21"/>
      <c r="K18" s="22"/>
      <c r="L18" s="6"/>
      <c r="N18" s="23"/>
      <c r="O18" s="24"/>
      <c r="P18" s="18" t="s">
        <v>116</v>
      </c>
      <c r="Q18" s="16" t="s">
        <v>51</v>
      </c>
      <c r="R18" s="17">
        <f>(S18*T18)/T4</f>
        <v>1.8660303440152702E-2</v>
      </c>
      <c r="S18" s="19">
        <v>6</v>
      </c>
      <c r="T18" s="20">
        <v>10097</v>
      </c>
      <c r="U18" s="14"/>
      <c r="Y18" s="21"/>
      <c r="Z18" s="14"/>
      <c r="AD18" s="21"/>
      <c r="AE18" s="14"/>
      <c r="AI18" s="21"/>
    </row>
    <row r="19" spans="1:35" s="7" customFormat="1" ht="19.5" hidden="1" outlineLevel="1" thickBot="1" x14ac:dyDescent="0.35">
      <c r="A19" s="58"/>
      <c r="B19" s="32"/>
      <c r="C19" s="1"/>
      <c r="D19" s="8"/>
      <c r="E19" s="37"/>
      <c r="F19" s="14"/>
      <c r="J19" s="21"/>
      <c r="K19" s="22"/>
      <c r="L19" s="6"/>
      <c r="N19" s="23"/>
      <c r="O19" s="24"/>
      <c r="P19" s="18" t="s">
        <v>117</v>
      </c>
      <c r="Q19" s="16" t="s">
        <v>53</v>
      </c>
      <c r="R19" s="17">
        <f>(S19*T19)/T4</f>
        <v>1.7832660982926293E-2</v>
      </c>
      <c r="S19" s="19">
        <v>5</v>
      </c>
      <c r="T19" s="20">
        <v>11579</v>
      </c>
      <c r="U19" s="14"/>
      <c r="Y19" s="21"/>
      <c r="Z19" s="14"/>
      <c r="AD19" s="21"/>
      <c r="AE19" s="14"/>
      <c r="AI19" s="21"/>
    </row>
    <row r="20" spans="1:35" s="7" customFormat="1" ht="19.5" hidden="1" outlineLevel="1" thickBot="1" x14ac:dyDescent="0.35">
      <c r="A20" s="58"/>
      <c r="B20" s="32"/>
      <c r="C20" s="1"/>
      <c r="D20" s="8"/>
      <c r="E20" s="37"/>
      <c r="F20" s="14"/>
      <c r="J20" s="21"/>
      <c r="K20" s="22"/>
      <c r="L20" s="6"/>
      <c r="N20" s="23"/>
      <c r="O20" s="24"/>
      <c r="P20" s="18" t="s">
        <v>126</v>
      </c>
      <c r="Q20" s="16" t="s">
        <v>55</v>
      </c>
      <c r="R20" s="17">
        <f>(S20*T20)/T4</f>
        <v>1.7423922039591925E-2</v>
      </c>
      <c r="S20" s="19">
        <v>4</v>
      </c>
      <c r="T20" s="20">
        <v>14142</v>
      </c>
      <c r="U20" s="14"/>
      <c r="Y20" s="21"/>
      <c r="Z20" s="14"/>
      <c r="AD20" s="21"/>
      <c r="AE20" s="14"/>
      <c r="AI20" s="21"/>
    </row>
    <row r="21" spans="1:35" s="7" customFormat="1" ht="19.5" hidden="1" outlineLevel="1" thickBot="1" x14ac:dyDescent="0.35">
      <c r="A21" s="58"/>
      <c r="B21" s="32"/>
      <c r="C21" s="1"/>
      <c r="D21" s="8"/>
      <c r="E21" s="37"/>
      <c r="F21" s="14"/>
      <c r="J21" s="21"/>
      <c r="K21" s="22"/>
      <c r="L21" s="6"/>
      <c r="N21" s="23"/>
      <c r="O21" s="24"/>
      <c r="P21" s="18" t="s">
        <v>120</v>
      </c>
      <c r="Q21" s="16" t="s">
        <v>63</v>
      </c>
      <c r="R21" s="17">
        <f>(S21*T21)/T4</f>
        <v>1.2957979357297283E-2</v>
      </c>
      <c r="S21" s="19">
        <v>3</v>
      </c>
      <c r="T21" s="20">
        <v>14023</v>
      </c>
      <c r="U21" s="14"/>
      <c r="Y21" s="21"/>
      <c r="Z21" s="14"/>
      <c r="AD21" s="21"/>
      <c r="AE21" s="14"/>
      <c r="AI21" s="21"/>
    </row>
    <row r="22" spans="1:35" s="7" customFormat="1" ht="19.5" hidden="1" outlineLevel="1" thickBot="1" x14ac:dyDescent="0.35">
      <c r="A22" s="58"/>
      <c r="B22" s="32"/>
      <c r="C22" s="1"/>
      <c r="D22" s="8"/>
      <c r="E22" s="37"/>
      <c r="F22" s="14"/>
      <c r="J22" s="21"/>
      <c r="K22" s="22"/>
      <c r="L22" s="6"/>
      <c r="N22" s="23"/>
      <c r="O22" s="24"/>
      <c r="P22" s="18" t="s">
        <v>122</v>
      </c>
      <c r="Q22" s="16" t="s">
        <v>73</v>
      </c>
      <c r="R22" s="17">
        <f>(S22*T22)/T4</f>
        <v>7.704744482717304E-3</v>
      </c>
      <c r="S22" s="19">
        <v>2</v>
      </c>
      <c r="T22" s="20">
        <v>12507</v>
      </c>
      <c r="U22" s="14"/>
      <c r="Y22" s="21"/>
      <c r="Z22" s="14"/>
      <c r="AD22" s="21"/>
      <c r="AE22" s="14"/>
      <c r="AI22" s="21"/>
    </row>
    <row r="23" spans="1:35" s="7" customFormat="1" ht="19.5" hidden="1" outlineLevel="1" thickBot="1" x14ac:dyDescent="0.35">
      <c r="A23" s="58"/>
      <c r="B23" s="32"/>
      <c r="C23" s="1"/>
      <c r="D23" s="8"/>
      <c r="E23" s="37"/>
      <c r="F23" s="14"/>
      <c r="J23" s="21"/>
      <c r="K23" s="22"/>
      <c r="L23" s="6"/>
      <c r="N23" s="23"/>
      <c r="O23" s="24"/>
      <c r="P23" s="18" t="s">
        <v>148</v>
      </c>
      <c r="Q23" s="16" t="s">
        <v>80</v>
      </c>
      <c r="R23" s="17">
        <f>(S23*T23)/T4</f>
        <v>5.3712054965069297E-3</v>
      </c>
      <c r="S23" s="19">
        <v>2</v>
      </c>
      <c r="T23" s="20">
        <v>8719</v>
      </c>
      <c r="U23" s="14"/>
      <c r="Y23" s="21"/>
      <c r="Z23" s="14"/>
      <c r="AD23" s="21"/>
      <c r="AE23" s="14"/>
      <c r="AI23" s="21"/>
    </row>
    <row r="24" spans="1:35" s="7" customFormat="1" ht="19.5" hidden="1" outlineLevel="1" thickBot="1" x14ac:dyDescent="0.35">
      <c r="A24" s="58"/>
      <c r="B24" s="32"/>
      <c r="C24" s="1"/>
      <c r="D24" s="8"/>
      <c r="E24" s="37"/>
      <c r="F24" s="14"/>
      <c r="J24" s="21"/>
      <c r="K24" s="22"/>
      <c r="L24" s="6"/>
      <c r="N24" s="23"/>
      <c r="O24" s="24"/>
      <c r="P24" s="18" t="s">
        <v>123</v>
      </c>
      <c r="Q24" s="25" t="s">
        <v>88</v>
      </c>
      <c r="R24" s="17">
        <f>(S24*T24)/T4</f>
        <v>2.9735989140542438E-3</v>
      </c>
      <c r="S24" s="19">
        <v>1</v>
      </c>
      <c r="T24" s="20">
        <v>9654</v>
      </c>
      <c r="U24" s="14"/>
      <c r="Y24" s="21"/>
      <c r="Z24" s="14"/>
      <c r="AD24" s="21"/>
      <c r="AE24" s="14"/>
      <c r="AI24" s="21"/>
    </row>
    <row r="25" spans="1:35" s="7" customFormat="1" ht="19.5" hidden="1" outlineLevel="1" thickBot="1" x14ac:dyDescent="0.35">
      <c r="A25" s="58"/>
      <c r="B25" s="32"/>
      <c r="C25" s="1"/>
      <c r="D25" s="8"/>
      <c r="E25" s="37"/>
      <c r="F25" s="14"/>
      <c r="J25" s="21"/>
      <c r="K25" s="22"/>
      <c r="L25" s="6"/>
      <c r="N25" s="23"/>
      <c r="O25" s="24"/>
      <c r="P25" s="18" t="s">
        <v>124</v>
      </c>
      <c r="Q25" s="16" t="s">
        <v>93</v>
      </c>
      <c r="R25" s="17">
        <f>(S25*T25)/T4</f>
        <v>2.6292355842518151E-3</v>
      </c>
      <c r="S25" s="19">
        <v>1</v>
      </c>
      <c r="T25" s="20">
        <v>8536</v>
      </c>
      <c r="U25" s="14"/>
      <c r="Y25" s="21"/>
      <c r="Z25" s="14"/>
      <c r="AD25" s="21"/>
      <c r="AE25" s="14"/>
      <c r="AI25" s="21"/>
    </row>
    <row r="26" spans="1:35" s="65" customFormat="1" ht="18.75" hidden="1" outlineLevel="1" x14ac:dyDescent="0.3">
      <c r="A26" s="59"/>
      <c r="B26" s="60"/>
      <c r="C26" s="61"/>
      <c r="D26" s="62"/>
      <c r="E26" s="63"/>
      <c r="F26" s="64"/>
      <c r="J26" s="66"/>
      <c r="K26" s="93"/>
      <c r="L26" s="67"/>
      <c r="N26" s="68"/>
      <c r="O26" s="69"/>
      <c r="P26" s="76" t="s">
        <v>149</v>
      </c>
      <c r="Q26" s="70" t="s">
        <v>94</v>
      </c>
      <c r="R26" s="17">
        <f>(S26*T26)/T4</f>
        <v>2.5654760052991293E-3</v>
      </c>
      <c r="S26" s="71">
        <v>1</v>
      </c>
      <c r="T26" s="77">
        <v>8329</v>
      </c>
      <c r="U26" s="64"/>
      <c r="Y26" s="66"/>
      <c r="Z26" s="64"/>
      <c r="AD26" s="66"/>
      <c r="AE26" s="64"/>
      <c r="AI26" s="66"/>
    </row>
    <row r="27" spans="1:35" s="54" customFormat="1" ht="18.75" collapsed="1" x14ac:dyDescent="0.3">
      <c r="A27" s="72" t="s">
        <v>17</v>
      </c>
      <c r="B27" s="49" t="s">
        <v>17</v>
      </c>
      <c r="C27" s="50">
        <v>288</v>
      </c>
      <c r="D27" s="51">
        <v>1365356</v>
      </c>
      <c r="E27" s="52">
        <f>D27/D3</f>
        <v>0.14031648378210226</v>
      </c>
      <c r="F27" s="53">
        <f>SUM(I28:I37)</f>
        <v>288</v>
      </c>
      <c r="H27" s="99">
        <f>(F27/F3)/I27</f>
        <v>0.75454078877679753</v>
      </c>
      <c r="I27" s="55">
        <f>J27/I3</f>
        <v>0.54063612915181458</v>
      </c>
      <c r="J27" s="56">
        <v>1365356</v>
      </c>
      <c r="K27" s="53"/>
      <c r="M27" s="99" t="e">
        <f>(K27/K3)/N27</f>
        <v>#DIV/0!</v>
      </c>
      <c r="N27" s="55">
        <f>O27/N3</f>
        <v>0</v>
      </c>
      <c r="O27" s="73"/>
      <c r="P27" s="53"/>
      <c r="R27" s="99" t="e">
        <f>(P27/P3)/S27</f>
        <v>#DIV/0!</v>
      </c>
      <c r="S27" s="109">
        <f>T27/S3</f>
        <v>0</v>
      </c>
      <c r="T27" s="73"/>
      <c r="U27" s="53"/>
      <c r="W27" s="99" t="e">
        <f>(U27/U3)/X27</f>
        <v>#DIV/0!</v>
      </c>
      <c r="X27" s="55">
        <f>Y27/X3</f>
        <v>0</v>
      </c>
      <c r="Y27" s="73"/>
      <c r="Z27" s="53"/>
      <c r="AB27" s="99" t="e">
        <f>(Z27/Z3)/AC27</f>
        <v>#DIV/0!</v>
      </c>
      <c r="AC27" s="55">
        <f>AD27/AC3</f>
        <v>0</v>
      </c>
      <c r="AD27" s="73"/>
      <c r="AE27" s="53"/>
      <c r="AG27" s="99" t="e">
        <f>(AE27/AE3)/AH27</f>
        <v>#DIV/0!</v>
      </c>
      <c r="AH27" s="55">
        <f>AI27/AH3</f>
        <v>0</v>
      </c>
      <c r="AI27" s="73"/>
    </row>
    <row r="28" spans="1:35" s="7" customFormat="1" ht="19.5" hidden="1" outlineLevel="1" thickBot="1" x14ac:dyDescent="0.35">
      <c r="A28" s="99">
        <f>E27/E28</f>
        <v>0.66260561785992733</v>
      </c>
      <c r="B28" s="32" t="s">
        <v>199</v>
      </c>
      <c r="C28" s="1"/>
      <c r="D28" s="8" t="s">
        <v>198</v>
      </c>
      <c r="E28" s="37">
        <f>C27/C3</f>
        <v>0.21176470588235294</v>
      </c>
      <c r="F28" s="18" t="s">
        <v>131</v>
      </c>
      <c r="G28" s="16" t="s">
        <v>16</v>
      </c>
      <c r="H28" s="17">
        <f>(I28*J28)/J27</f>
        <v>0.22602310313207691</v>
      </c>
      <c r="I28" s="19">
        <v>98</v>
      </c>
      <c r="J28" s="20">
        <v>3149</v>
      </c>
      <c r="K28" s="14"/>
      <c r="O28" s="21"/>
      <c r="P28" s="14"/>
      <c r="T28" s="21"/>
      <c r="U28" s="14"/>
      <c r="Y28" s="21"/>
      <c r="Z28" s="14"/>
      <c r="AD28" s="21"/>
      <c r="AE28" s="14"/>
      <c r="AI28" s="21"/>
    </row>
    <row r="29" spans="1:35" s="7" customFormat="1" ht="19.5" hidden="1" outlineLevel="1" thickBot="1" x14ac:dyDescent="0.35">
      <c r="A29" s="74"/>
      <c r="B29" s="32"/>
      <c r="C29" s="1"/>
      <c r="D29" s="8"/>
      <c r="E29" s="37"/>
      <c r="F29" s="18" t="s">
        <v>133</v>
      </c>
      <c r="G29" s="16" t="s">
        <v>18</v>
      </c>
      <c r="H29" s="17">
        <f>(I29*J29)/J27</f>
        <v>0.2246842581714952</v>
      </c>
      <c r="I29" s="19">
        <v>69</v>
      </c>
      <c r="J29" s="20">
        <v>4446</v>
      </c>
      <c r="K29" s="14"/>
      <c r="O29" s="21"/>
      <c r="P29" s="14"/>
      <c r="T29" s="21"/>
      <c r="U29" s="14"/>
      <c r="Y29" s="21"/>
      <c r="Z29" s="14"/>
      <c r="AD29" s="21"/>
      <c r="AE29" s="14"/>
      <c r="AI29" s="21"/>
    </row>
    <row r="30" spans="1:35" s="7" customFormat="1" ht="19.5" hidden="1" outlineLevel="1" thickBot="1" x14ac:dyDescent="0.35">
      <c r="A30" s="74"/>
      <c r="B30" s="32"/>
      <c r="C30" s="1"/>
      <c r="D30" s="8"/>
      <c r="E30" s="37"/>
      <c r="F30" s="18" t="s">
        <v>132</v>
      </c>
      <c r="G30" s="16" t="s">
        <v>25</v>
      </c>
      <c r="H30" s="17">
        <f>(I30*J30)/J27</f>
        <v>0.18823735348143633</v>
      </c>
      <c r="I30" s="19">
        <v>43</v>
      </c>
      <c r="J30" s="20">
        <v>5977</v>
      </c>
      <c r="K30" s="14"/>
      <c r="O30" s="21"/>
      <c r="P30" s="14"/>
      <c r="T30" s="21"/>
      <c r="U30" s="14"/>
      <c r="Y30" s="21"/>
      <c r="Z30" s="14"/>
      <c r="AD30" s="21"/>
      <c r="AE30" s="14"/>
      <c r="AI30" s="21"/>
    </row>
    <row r="31" spans="1:35" s="7" customFormat="1" ht="19.5" hidden="1" outlineLevel="1" thickBot="1" x14ac:dyDescent="0.35">
      <c r="A31" s="74"/>
      <c r="B31" s="32"/>
      <c r="C31" s="1"/>
      <c r="D31" s="8"/>
      <c r="E31" s="37"/>
      <c r="F31" s="18" t="s">
        <v>31</v>
      </c>
      <c r="G31" s="16" t="s">
        <v>32</v>
      </c>
      <c r="H31" s="17">
        <f>(I31*J31)/J27</f>
        <v>0.11524027433138317</v>
      </c>
      <c r="I31" s="19">
        <v>24</v>
      </c>
      <c r="J31" s="20">
        <v>6556</v>
      </c>
      <c r="K31" s="14"/>
      <c r="O31" s="21"/>
      <c r="P31" s="14"/>
      <c r="T31" s="21"/>
      <c r="U31" s="14"/>
      <c r="Y31" s="21"/>
      <c r="Z31" s="14"/>
      <c r="AD31" s="21"/>
      <c r="AE31" s="14"/>
      <c r="AI31" s="21"/>
    </row>
    <row r="32" spans="1:35" s="7" customFormat="1" ht="19.5" hidden="1" outlineLevel="1" thickBot="1" x14ac:dyDescent="0.35">
      <c r="A32" s="74"/>
      <c r="B32" s="32"/>
      <c r="C32" s="1"/>
      <c r="D32" s="8"/>
      <c r="E32" s="37"/>
      <c r="F32" s="18" t="s">
        <v>130</v>
      </c>
      <c r="G32" s="16" t="s">
        <v>34</v>
      </c>
      <c r="H32" s="17">
        <f>(I32*J32)/J27</f>
        <v>0.11170932709124946</v>
      </c>
      <c r="I32" s="19">
        <v>21</v>
      </c>
      <c r="J32" s="20">
        <v>7263</v>
      </c>
      <c r="K32" s="14"/>
      <c r="O32" s="21"/>
      <c r="P32" s="14"/>
      <c r="T32" s="21"/>
      <c r="U32" s="14"/>
      <c r="Y32" s="21"/>
      <c r="Z32" s="14"/>
      <c r="AD32" s="21"/>
      <c r="AE32" s="14"/>
      <c r="AI32" s="21"/>
    </row>
    <row r="33" spans="1:35" s="7" customFormat="1" ht="19.5" hidden="1" outlineLevel="1" thickBot="1" x14ac:dyDescent="0.35">
      <c r="A33" s="74"/>
      <c r="B33" s="32"/>
      <c r="C33" s="1"/>
      <c r="D33" s="8"/>
      <c r="E33" s="37"/>
      <c r="F33" s="18" t="s">
        <v>134</v>
      </c>
      <c r="G33" s="16" t="s">
        <v>37</v>
      </c>
      <c r="H33" s="17">
        <f>(I33*J33)/J27</f>
        <v>0.10418235244141455</v>
      </c>
      <c r="I33" s="19">
        <v>26</v>
      </c>
      <c r="J33" s="20">
        <v>5471</v>
      </c>
      <c r="K33" s="14"/>
      <c r="O33" s="21"/>
      <c r="P33" s="14"/>
      <c r="T33" s="21"/>
      <c r="U33" s="14"/>
      <c r="Y33" s="21"/>
      <c r="Z33" s="14"/>
      <c r="AD33" s="21"/>
      <c r="AE33" s="14"/>
      <c r="AI33" s="21"/>
    </row>
    <row r="34" spans="1:35" s="7" customFormat="1" ht="19.5" hidden="1" outlineLevel="1" thickBot="1" x14ac:dyDescent="0.35">
      <c r="A34" s="74"/>
      <c r="B34" s="32"/>
      <c r="C34" s="1"/>
      <c r="D34" s="8"/>
      <c r="E34" s="37"/>
      <c r="F34" s="18" t="s">
        <v>135</v>
      </c>
      <c r="G34" s="16" t="s">
        <v>78</v>
      </c>
      <c r="H34" s="17">
        <f>(I34*J34)/J27</f>
        <v>1.3064724511409479E-2</v>
      </c>
      <c r="I34" s="19">
        <v>3</v>
      </c>
      <c r="J34" s="20">
        <v>5946</v>
      </c>
      <c r="K34" s="14"/>
      <c r="O34" s="21"/>
      <c r="P34" s="14"/>
      <c r="T34" s="21"/>
      <c r="U34" s="14"/>
      <c r="Y34" s="21"/>
      <c r="Z34" s="14"/>
      <c r="AD34" s="21"/>
      <c r="AE34" s="14"/>
      <c r="AI34" s="21"/>
    </row>
    <row r="35" spans="1:35" s="7" customFormat="1" ht="19.5" hidden="1" outlineLevel="1" thickBot="1" x14ac:dyDescent="0.35">
      <c r="A35" s="74"/>
      <c r="B35" s="32"/>
      <c r="C35" s="1"/>
      <c r="D35" s="8"/>
      <c r="E35" s="37"/>
      <c r="F35" s="18" t="s">
        <v>127</v>
      </c>
      <c r="G35" s="16" t="s">
        <v>90</v>
      </c>
      <c r="H35" s="17">
        <f>(I35*J35)/J27</f>
        <v>6.8831865095989615E-3</v>
      </c>
      <c r="I35" s="19">
        <v>2</v>
      </c>
      <c r="J35" s="20">
        <v>4699</v>
      </c>
      <c r="K35" s="14"/>
      <c r="O35" s="21"/>
      <c r="P35" s="14"/>
      <c r="T35" s="21"/>
      <c r="U35" s="14"/>
      <c r="Y35" s="21"/>
      <c r="Z35" s="14"/>
      <c r="AD35" s="21"/>
      <c r="AE35" s="14"/>
      <c r="AI35" s="21"/>
    </row>
    <row r="36" spans="1:35" s="7" customFormat="1" ht="19.5" hidden="1" outlineLevel="1" thickBot="1" x14ac:dyDescent="0.35">
      <c r="A36" s="74"/>
      <c r="B36" s="32"/>
      <c r="C36" s="1"/>
      <c r="D36" s="8"/>
      <c r="E36" s="37"/>
      <c r="F36" s="18" t="s">
        <v>128</v>
      </c>
      <c r="G36" s="16" t="s">
        <v>95</v>
      </c>
      <c r="H36" s="17">
        <f>(I36*J36)/J27</f>
        <v>5.544341549017253E-3</v>
      </c>
      <c r="I36" s="19">
        <v>1</v>
      </c>
      <c r="J36" s="20">
        <v>7570</v>
      </c>
      <c r="K36" s="14"/>
      <c r="O36" s="21"/>
      <c r="P36" s="14"/>
      <c r="T36" s="21"/>
      <c r="U36" s="14"/>
      <c r="Y36" s="21"/>
      <c r="Z36" s="14"/>
      <c r="AD36" s="21"/>
      <c r="AE36" s="14"/>
      <c r="AI36" s="21"/>
    </row>
    <row r="37" spans="1:35" s="65" customFormat="1" ht="18.75" hidden="1" outlineLevel="1" x14ac:dyDescent="0.3">
      <c r="A37" s="75"/>
      <c r="B37" s="60"/>
      <c r="C37" s="61"/>
      <c r="D37" s="62"/>
      <c r="E37" s="63"/>
      <c r="F37" s="76" t="s">
        <v>129</v>
      </c>
      <c r="G37" s="70" t="s">
        <v>98</v>
      </c>
      <c r="H37" s="17">
        <f>(I37*J37)/J27</f>
        <v>4.40471203114792E-3</v>
      </c>
      <c r="I37" s="71">
        <v>1</v>
      </c>
      <c r="J37" s="77">
        <v>6014</v>
      </c>
      <c r="K37" s="64"/>
      <c r="O37" s="66"/>
      <c r="P37" s="64"/>
      <c r="T37" s="66"/>
      <c r="U37" s="64"/>
      <c r="Y37" s="66"/>
      <c r="Z37" s="64"/>
      <c r="AD37" s="66"/>
      <c r="AE37" s="64"/>
      <c r="AI37" s="66"/>
    </row>
    <row r="38" spans="1:35" s="54" customFormat="1" ht="18.75" collapsed="1" x14ac:dyDescent="0.3">
      <c r="A38" s="78" t="s">
        <v>23</v>
      </c>
      <c r="B38" s="79" t="s">
        <v>15</v>
      </c>
      <c r="C38" s="50">
        <v>36</v>
      </c>
      <c r="D38" s="51">
        <v>1047900</v>
      </c>
      <c r="E38" s="52">
        <f>D38/D3</f>
        <v>0.10769179858971943</v>
      </c>
      <c r="F38" s="53">
        <v>5</v>
      </c>
      <c r="H38" s="99">
        <f>(F38/F3)/I38</f>
        <v>1.0357118660777955</v>
      </c>
      <c r="I38" s="55">
        <f>J38/I3</f>
        <v>6.8379567778093673E-3</v>
      </c>
      <c r="J38" s="80">
        <v>17269</v>
      </c>
      <c r="K38" s="53">
        <f>SUM(N39:N40)</f>
        <v>14</v>
      </c>
      <c r="M38" s="99">
        <f>(K38/K3)/N38</f>
        <v>0.72989486218213107</v>
      </c>
      <c r="N38" s="55">
        <f>O38/N3</f>
        <v>7.6417707974440904E-2</v>
      </c>
      <c r="O38" s="73">
        <v>113339</v>
      </c>
      <c r="P38" s="53">
        <v>2</v>
      </c>
      <c r="R38" s="99">
        <f>(P38/P3)/S38</f>
        <v>1.0701862807094864</v>
      </c>
      <c r="S38" s="109">
        <f>T38/S3</f>
        <v>5.4325397225354101E-3</v>
      </c>
      <c r="T38" s="73">
        <v>19943</v>
      </c>
      <c r="U38" s="53">
        <f>SUM(X39:X41)</f>
        <v>9</v>
      </c>
      <c r="W38" s="99">
        <f>(U38/U3)/X38</f>
        <v>1.0629445101824748</v>
      </c>
      <c r="X38" s="55">
        <f>Y38/X3</f>
        <v>0.56446972937185447</v>
      </c>
      <c r="Y38" s="73">
        <v>192684</v>
      </c>
      <c r="Z38" s="53"/>
      <c r="AB38" s="99" t="e">
        <f>(Z38/Z3)/AC38</f>
        <v>#DIV/0!</v>
      </c>
      <c r="AC38" s="55">
        <f>AD38/AC3</f>
        <v>0</v>
      </c>
      <c r="AD38" s="73"/>
      <c r="AE38" s="53">
        <f>SUM(AH39:AH40)</f>
        <v>6</v>
      </c>
      <c r="AG38" s="99">
        <f>(AE38/AE3)/AH38</f>
        <v>0.91393847587313382</v>
      </c>
      <c r="AH38" s="55">
        <f>AI38/AH3</f>
        <v>0.93785619029112777</v>
      </c>
      <c r="AI38" s="73">
        <v>704662</v>
      </c>
    </row>
    <row r="39" spans="1:35" s="7" customFormat="1" ht="19.5" hidden="1" outlineLevel="1" thickBot="1" x14ac:dyDescent="0.35">
      <c r="A39" s="99">
        <f>E38/E39</f>
        <v>4.0683568356116231</v>
      </c>
      <c r="B39" s="32" t="s">
        <v>199</v>
      </c>
      <c r="C39" s="1"/>
      <c r="D39" s="8" t="s">
        <v>198</v>
      </c>
      <c r="E39" s="37">
        <f>C38/C3</f>
        <v>2.6470588235294117E-2</v>
      </c>
      <c r="F39" s="18" t="s">
        <v>137</v>
      </c>
      <c r="G39" s="16" t="s">
        <v>81</v>
      </c>
      <c r="H39" s="17">
        <f>(I39*J39)/J38</f>
        <v>1.0000579072326135</v>
      </c>
      <c r="I39" s="19">
        <v>5</v>
      </c>
      <c r="J39" s="20">
        <v>3454</v>
      </c>
      <c r="K39" s="18" t="s">
        <v>136</v>
      </c>
      <c r="L39" s="16" t="s">
        <v>42</v>
      </c>
      <c r="M39" s="17">
        <f>(N39*O39)/O38</f>
        <v>0.91909228068008364</v>
      </c>
      <c r="N39" s="19">
        <v>13</v>
      </c>
      <c r="O39" s="20">
        <v>8013</v>
      </c>
      <c r="P39" s="18" t="s">
        <v>141</v>
      </c>
      <c r="Q39" s="16" t="s">
        <v>86</v>
      </c>
      <c r="R39" s="17">
        <f>(S39*T39)/T38</f>
        <v>0.54841297698440561</v>
      </c>
      <c r="S39" s="19">
        <v>1</v>
      </c>
      <c r="T39" s="20">
        <v>10937</v>
      </c>
      <c r="U39" s="18" t="s">
        <v>139</v>
      </c>
      <c r="V39" s="16" t="s">
        <v>46</v>
      </c>
      <c r="W39" s="17">
        <f>(X39*Y39)/Y38</f>
        <v>0.40613128230678208</v>
      </c>
      <c r="X39" s="19">
        <v>3</v>
      </c>
      <c r="Y39" s="20">
        <v>26085</v>
      </c>
      <c r="Z39" s="14"/>
      <c r="AD39" s="21"/>
      <c r="AE39" s="38" t="s">
        <v>138</v>
      </c>
      <c r="AF39" s="16" t="s">
        <v>14</v>
      </c>
      <c r="AG39" s="17">
        <f>(AH39*AI39)/AI38</f>
        <v>0.9058456394697032</v>
      </c>
      <c r="AH39" s="19">
        <v>5</v>
      </c>
      <c r="AI39" s="21">
        <v>127663</v>
      </c>
    </row>
    <row r="40" spans="1:35" s="7" customFormat="1" ht="19.5" hidden="1" outlineLevel="1" thickBot="1" x14ac:dyDescent="0.35">
      <c r="A40" s="82"/>
      <c r="B40" s="33"/>
      <c r="C40" s="1"/>
      <c r="D40" s="8"/>
      <c r="E40" s="37"/>
      <c r="F40" s="14"/>
      <c r="J40" s="21"/>
      <c r="K40" s="18" t="s">
        <v>136</v>
      </c>
      <c r="L40" s="16" t="s">
        <v>91</v>
      </c>
      <c r="M40" s="17">
        <f>(N40*O40)/O38</f>
        <v>8.0960657849460466E-2</v>
      </c>
      <c r="N40" s="19">
        <v>1</v>
      </c>
      <c r="O40" s="20">
        <v>9176</v>
      </c>
      <c r="P40" s="18" t="s">
        <v>141</v>
      </c>
      <c r="Q40" s="16" t="s">
        <v>92</v>
      </c>
      <c r="R40" s="17">
        <f>(S40*T40)/T38</f>
        <v>0.45158702301559445</v>
      </c>
      <c r="S40" s="19">
        <v>1</v>
      </c>
      <c r="T40" s="20">
        <v>9006</v>
      </c>
      <c r="U40" s="38" t="s">
        <v>151</v>
      </c>
      <c r="V40" s="16" t="s">
        <v>54</v>
      </c>
      <c r="W40" s="17">
        <f>(X40*Y40)/Y38</f>
        <v>0.49692761204874303</v>
      </c>
      <c r="X40" s="19">
        <v>5</v>
      </c>
      <c r="Y40" s="20">
        <v>19150</v>
      </c>
      <c r="Z40" s="14"/>
      <c r="AD40" s="21"/>
      <c r="AE40" s="18" t="s">
        <v>140</v>
      </c>
      <c r="AF40" s="16" t="s">
        <v>50</v>
      </c>
      <c r="AG40" s="17">
        <f>(AH40*AI40)/AI38</f>
        <v>9.4154360530296799E-2</v>
      </c>
      <c r="AH40" s="19">
        <v>1</v>
      </c>
      <c r="AI40" s="21">
        <v>66347</v>
      </c>
    </row>
    <row r="41" spans="1:35" s="65" customFormat="1" ht="18.75" hidden="1" outlineLevel="1" x14ac:dyDescent="0.3">
      <c r="A41" s="75"/>
      <c r="B41" s="83"/>
      <c r="C41" s="61"/>
      <c r="D41" s="62"/>
      <c r="E41" s="63"/>
      <c r="F41" s="64"/>
      <c r="J41" s="66"/>
      <c r="K41" s="64"/>
      <c r="O41" s="66"/>
      <c r="P41" s="64"/>
      <c r="T41" s="66"/>
      <c r="U41" s="76" t="s">
        <v>150</v>
      </c>
      <c r="V41" s="70" t="s">
        <v>76</v>
      </c>
      <c r="W41" s="17">
        <f>(X41*Y41)/Y38</f>
        <v>9.694110564447489E-2</v>
      </c>
      <c r="X41" s="71">
        <v>1</v>
      </c>
      <c r="Y41" s="77">
        <v>18679</v>
      </c>
      <c r="Z41" s="64"/>
      <c r="AD41" s="66"/>
      <c r="AE41" s="64"/>
      <c r="AI41" s="66"/>
    </row>
    <row r="42" spans="1:35" s="54" customFormat="1" ht="18.75" collapsed="1" x14ac:dyDescent="0.3">
      <c r="A42" s="84" t="s">
        <v>1</v>
      </c>
      <c r="B42" s="49" t="s">
        <v>2</v>
      </c>
      <c r="C42" s="50">
        <v>53</v>
      </c>
      <c r="D42" s="51">
        <v>817223</v>
      </c>
      <c r="E42" s="52">
        <f>D42/D3</f>
        <v>8.3985317987294861E-2</v>
      </c>
      <c r="F42" s="53">
        <f>SUM(I43:I44)</f>
        <v>28</v>
      </c>
      <c r="H42" s="99">
        <f>(F42/F3)/I42</f>
        <v>0.5979699463024819</v>
      </c>
      <c r="I42" s="55">
        <f>J42/I3</f>
        <v>6.6324498250221145E-2</v>
      </c>
      <c r="J42" s="73">
        <v>167500</v>
      </c>
      <c r="K42" s="53"/>
      <c r="M42" s="99" t="e">
        <f>(K42/K3)/N42</f>
        <v>#DIV/0!</v>
      </c>
      <c r="N42" s="55">
        <f>O42/N3</f>
        <v>0</v>
      </c>
      <c r="O42" s="73"/>
      <c r="P42" s="53"/>
      <c r="S42" s="109">
        <f>T42/S3</f>
        <v>0</v>
      </c>
      <c r="T42" s="73"/>
      <c r="U42" s="92">
        <v>4</v>
      </c>
      <c r="X42" s="55">
        <f>Y42/X3</f>
        <v>0.26754337139743495</v>
      </c>
      <c r="Y42" s="80">
        <v>91327</v>
      </c>
      <c r="Z42" s="92">
        <v>21</v>
      </c>
      <c r="AC42" s="55">
        <f>AD42/AC3</f>
        <v>0.6220989304812834</v>
      </c>
      <c r="AD42" s="80">
        <v>558396</v>
      </c>
      <c r="AE42" s="53"/>
      <c r="AH42" s="55">
        <f>AI42/AH3</f>
        <v>0</v>
      </c>
      <c r="AI42" s="73"/>
    </row>
    <row r="43" spans="1:35" s="7" customFormat="1" ht="19.5" hidden="1" outlineLevel="1" thickBot="1" x14ac:dyDescent="0.35">
      <c r="A43" s="99">
        <f>E42/E43</f>
        <v>2.1550949521268117</v>
      </c>
      <c r="B43" s="32" t="s">
        <v>199</v>
      </c>
      <c r="C43" s="1"/>
      <c r="D43" s="8" t="s">
        <v>198</v>
      </c>
      <c r="E43" s="37">
        <f>C42/C3</f>
        <v>3.8970588235294118E-2</v>
      </c>
      <c r="F43" s="18" t="s">
        <v>144</v>
      </c>
      <c r="G43" s="16" t="s">
        <v>35</v>
      </c>
      <c r="H43" s="17">
        <f>(I43*J43)/J42</f>
        <v>0.89179104477611937</v>
      </c>
      <c r="I43" s="19">
        <v>25</v>
      </c>
      <c r="J43" s="20">
        <v>5975</v>
      </c>
      <c r="K43" s="14"/>
      <c r="O43" s="21"/>
      <c r="P43" s="14"/>
      <c r="T43" s="21"/>
      <c r="U43" s="18" t="s">
        <v>143</v>
      </c>
      <c r="V43" s="16" t="s">
        <v>43</v>
      </c>
      <c r="W43" s="17">
        <f>(X43*Y43)/Y42</f>
        <v>1.0000109496643927</v>
      </c>
      <c r="X43" s="19">
        <v>4</v>
      </c>
      <c r="Y43" s="20">
        <v>22832</v>
      </c>
      <c r="Z43" s="18" t="s">
        <v>145</v>
      </c>
      <c r="AA43" s="16" t="s">
        <v>0</v>
      </c>
      <c r="AB43" s="17">
        <f>(AC43*AD43)/AD42</f>
        <v>0.99998925493735624</v>
      </c>
      <c r="AC43" s="19">
        <v>21</v>
      </c>
      <c r="AD43" s="20">
        <v>26590</v>
      </c>
      <c r="AE43" s="14"/>
      <c r="AI43" s="21"/>
    </row>
    <row r="44" spans="1:35" s="65" customFormat="1" ht="18.75" hidden="1" outlineLevel="1" x14ac:dyDescent="0.3">
      <c r="A44" s="75"/>
      <c r="B44" s="60"/>
      <c r="C44" s="61"/>
      <c r="D44" s="62"/>
      <c r="E44" s="63"/>
      <c r="F44" s="76" t="s">
        <v>142</v>
      </c>
      <c r="G44" s="70" t="s">
        <v>77</v>
      </c>
      <c r="H44" s="17">
        <f>(I44*J44)/J42</f>
        <v>0.10816119402985075</v>
      </c>
      <c r="I44" s="71">
        <v>3</v>
      </c>
      <c r="J44" s="77">
        <v>6039</v>
      </c>
      <c r="K44" s="64"/>
      <c r="O44" s="66"/>
      <c r="P44" s="64"/>
      <c r="T44" s="66"/>
      <c r="U44" s="64"/>
      <c r="Y44" s="66"/>
      <c r="Z44" s="64"/>
      <c r="AD44" s="66"/>
      <c r="AE44" s="64"/>
      <c r="AI44" s="66"/>
    </row>
    <row r="45" spans="1:35" s="54" customFormat="1" ht="18.75" collapsed="1" x14ac:dyDescent="0.3">
      <c r="A45" s="85" t="s">
        <v>27</v>
      </c>
      <c r="B45" s="49" t="s">
        <v>262</v>
      </c>
      <c r="C45" s="50">
        <v>169</v>
      </c>
      <c r="D45" s="51">
        <v>757053</v>
      </c>
      <c r="E45" s="52">
        <f>D45/D3</f>
        <v>7.7801697869780376E-2</v>
      </c>
      <c r="F45" s="53">
        <f>SUM(I46:I47)</f>
        <v>110</v>
      </c>
      <c r="H45" s="99">
        <f>(F45/F3)/I45</f>
        <v>1.4544128567287777</v>
      </c>
      <c r="I45" s="55">
        <f>J45/I3</f>
        <v>0.1071273295737572</v>
      </c>
      <c r="J45" s="73">
        <v>270546</v>
      </c>
      <c r="K45" s="92">
        <v>43</v>
      </c>
      <c r="M45" s="99">
        <f>(K45/K3)/N45</f>
        <v>0.96567545799804533</v>
      </c>
      <c r="N45" s="55">
        <f>O45/N3</f>
        <v>0.17740405393651759</v>
      </c>
      <c r="O45" s="80">
        <v>263117</v>
      </c>
      <c r="P45" s="53">
        <f>SUM(S46:S49)</f>
        <v>14.007337456248619</v>
      </c>
      <c r="S45" s="109">
        <f>T45/S3</f>
        <v>4.5242107998660866E-2</v>
      </c>
      <c r="T45" s="73">
        <v>166085</v>
      </c>
      <c r="U45" s="53">
        <f>SUM(X46:X47)</f>
        <v>2</v>
      </c>
      <c r="X45" s="55">
        <f>Y45/X3</f>
        <v>0.16798689923071064</v>
      </c>
      <c r="Y45" s="73">
        <v>57343</v>
      </c>
      <c r="Z45" s="53"/>
      <c r="AC45" s="55">
        <f>AD45/AC3</f>
        <v>0</v>
      </c>
      <c r="AD45" s="73"/>
      <c r="AE45" s="53"/>
      <c r="AH45" s="55">
        <f>AI45/AH3</f>
        <v>0</v>
      </c>
      <c r="AI45" s="73"/>
    </row>
    <row r="46" spans="1:35" s="7" customFormat="1" ht="18.75" hidden="1" outlineLevel="1" x14ac:dyDescent="0.3">
      <c r="A46" s="99">
        <f>E45/E46</f>
        <v>0.62609650356746338</v>
      </c>
      <c r="B46" s="32" t="s">
        <v>199</v>
      </c>
      <c r="C46" s="1"/>
      <c r="D46" s="8" t="s">
        <v>198</v>
      </c>
      <c r="E46" s="37">
        <f>C45/C3</f>
        <v>0.12426470588235294</v>
      </c>
      <c r="F46" s="38" t="s">
        <v>152</v>
      </c>
      <c r="G46" s="16" t="s">
        <v>26</v>
      </c>
      <c r="H46" s="94">
        <f>(I46*J46)/J45</f>
        <v>0.78390366148455348</v>
      </c>
      <c r="I46" s="19">
        <v>78</v>
      </c>
      <c r="J46" s="20">
        <v>2719</v>
      </c>
      <c r="K46" s="38" t="s">
        <v>153</v>
      </c>
      <c r="L46" s="16" t="s">
        <v>30</v>
      </c>
      <c r="M46" s="39">
        <f>(N46*O46)/O45</f>
        <v>1</v>
      </c>
      <c r="N46" s="19">
        <v>43</v>
      </c>
      <c r="O46" s="20">
        <v>6119</v>
      </c>
      <c r="P46" s="18" t="s">
        <v>154</v>
      </c>
      <c r="Q46" s="16" t="s">
        <v>44</v>
      </c>
      <c r="R46" s="94">
        <f>(S46*T46)/T45</f>
        <v>0.54454044615708819</v>
      </c>
      <c r="S46" s="19">
        <v>7</v>
      </c>
      <c r="T46" s="20">
        <v>12920</v>
      </c>
      <c r="U46" s="18" t="s">
        <v>158</v>
      </c>
      <c r="V46" s="16" t="s">
        <v>69</v>
      </c>
      <c r="W46" s="94">
        <f>(X46*Y46)/Y45</f>
        <v>0.50940829743822258</v>
      </c>
      <c r="X46" s="19">
        <v>1</v>
      </c>
      <c r="Y46" s="20">
        <v>29211</v>
      </c>
      <c r="Z46" s="14"/>
      <c r="AD46" s="21"/>
      <c r="AE46" s="14"/>
      <c r="AI46" s="21"/>
    </row>
    <row r="47" spans="1:35" s="65" customFormat="1" ht="18.75" hidden="1" outlineLevel="1" x14ac:dyDescent="0.3">
      <c r="A47" s="75"/>
      <c r="B47" s="60"/>
      <c r="C47" s="61"/>
      <c r="D47" s="62"/>
      <c r="E47" s="63"/>
      <c r="F47" s="86" t="s">
        <v>155</v>
      </c>
      <c r="G47" s="70" t="s">
        <v>56</v>
      </c>
      <c r="H47" s="95">
        <f>(I47*J47)/J45</f>
        <v>0.21609633851544655</v>
      </c>
      <c r="I47" s="71">
        <v>32</v>
      </c>
      <c r="J47" s="77">
        <v>1827</v>
      </c>
      <c r="K47" s="64"/>
      <c r="O47" s="66"/>
      <c r="P47" s="76" t="s">
        <v>156</v>
      </c>
      <c r="Q47" s="70" t="s">
        <v>58</v>
      </c>
      <c r="R47" s="95">
        <f>(S47*T47)/T45</f>
        <v>0.29328355962308456</v>
      </c>
      <c r="S47" s="71">
        <v>5</v>
      </c>
      <c r="T47" s="77">
        <v>9742</v>
      </c>
      <c r="U47" s="76" t="s">
        <v>159</v>
      </c>
      <c r="V47" s="70" t="s">
        <v>70</v>
      </c>
      <c r="W47" s="95">
        <f>(X47*Y47)/Y45</f>
        <v>0.49059170256177737</v>
      </c>
      <c r="X47" s="71">
        <v>1</v>
      </c>
      <c r="Y47" s="77">
        <v>28132</v>
      </c>
      <c r="Z47" s="64"/>
      <c r="AD47" s="66"/>
      <c r="AE47" s="64"/>
      <c r="AI47" s="66"/>
    </row>
    <row r="48" spans="1:35" s="54" customFormat="1" ht="18.75" collapsed="1" x14ac:dyDescent="0.3">
      <c r="A48" s="85" t="s">
        <v>13</v>
      </c>
      <c r="B48" s="79" t="s">
        <v>13</v>
      </c>
      <c r="C48" s="50">
        <v>213</v>
      </c>
      <c r="D48" s="51">
        <v>558076</v>
      </c>
      <c r="E48" s="52">
        <f>D48/D3</f>
        <v>5.735299951307974E-2</v>
      </c>
      <c r="F48" s="53">
        <f>SUM(I49:I50)</f>
        <v>213</v>
      </c>
      <c r="H48" s="99">
        <f>(F48/F3)/I48</f>
        <v>1.3652820941442947</v>
      </c>
      <c r="I48" s="55">
        <f>J48/I3</f>
        <v>0.22097976528650995</v>
      </c>
      <c r="J48" s="73">
        <v>558076</v>
      </c>
      <c r="K48" s="53"/>
      <c r="M48" s="99" t="e">
        <f>(K48/K3)/N48</f>
        <v>#DIV/0!</v>
      </c>
      <c r="N48" s="55">
        <f>O48/N3</f>
        <v>0</v>
      </c>
      <c r="O48" s="73"/>
      <c r="P48" s="53"/>
      <c r="S48" s="109">
        <f>T48/S3</f>
        <v>7.3374562486192554E-3</v>
      </c>
      <c r="T48" s="73">
        <f>S49*T49</f>
        <v>26936</v>
      </c>
      <c r="U48" s="53"/>
      <c r="X48" s="55">
        <f>Y48/X3</f>
        <v>0</v>
      </c>
      <c r="Y48" s="73"/>
      <c r="Z48" s="53"/>
      <c r="AC48" s="55">
        <f>AD48/AC3</f>
        <v>0</v>
      </c>
      <c r="AD48" s="73"/>
      <c r="AE48" s="53"/>
      <c r="AH48" s="55">
        <f>AI48/AH3</f>
        <v>0</v>
      </c>
      <c r="AI48" s="73"/>
    </row>
    <row r="49" spans="1:36" s="7" customFormat="1" ht="18.75" hidden="1" outlineLevel="1" x14ac:dyDescent="0.3">
      <c r="A49" s="99">
        <f>E48/E49</f>
        <v>0.3661975555764716</v>
      </c>
      <c r="B49" s="32" t="s">
        <v>199</v>
      </c>
      <c r="C49" s="1"/>
      <c r="D49" s="8" t="s">
        <v>198</v>
      </c>
      <c r="E49" s="37">
        <f>C48/C3</f>
        <v>0.15661764705882353</v>
      </c>
      <c r="F49" s="18" t="s">
        <v>160</v>
      </c>
      <c r="G49" s="16" t="s">
        <v>12</v>
      </c>
      <c r="H49" s="94">
        <f>(I49*J49)/J48</f>
        <v>0.68899576401780405</v>
      </c>
      <c r="I49" s="19">
        <v>128</v>
      </c>
      <c r="J49" s="20">
        <v>3004</v>
      </c>
      <c r="K49" s="14"/>
      <c r="O49" s="21"/>
      <c r="P49" s="18" t="s">
        <v>157</v>
      </c>
      <c r="Q49" s="16" t="s">
        <v>71</v>
      </c>
      <c r="R49" s="94">
        <f>(S49*T49)/T48</f>
        <v>1</v>
      </c>
      <c r="S49" s="19">
        <v>2</v>
      </c>
      <c r="T49" s="20">
        <v>13468</v>
      </c>
      <c r="U49" s="14"/>
      <c r="Y49" s="21"/>
      <c r="Z49" s="14"/>
      <c r="AD49" s="21"/>
      <c r="AE49" s="14"/>
      <c r="AI49" s="21"/>
    </row>
    <row r="50" spans="1:36" s="65" customFormat="1" ht="18.75" hidden="1" outlineLevel="1" x14ac:dyDescent="0.3">
      <c r="A50" s="75"/>
      <c r="B50" s="60"/>
      <c r="C50" s="61"/>
      <c r="D50" s="62"/>
      <c r="E50" s="63"/>
      <c r="F50" s="76" t="s">
        <v>161</v>
      </c>
      <c r="G50" s="70" t="s">
        <v>29</v>
      </c>
      <c r="H50" s="95">
        <f>(I50*J50)/J48</f>
        <v>0.31086267820153529</v>
      </c>
      <c r="I50" s="71">
        <v>85</v>
      </c>
      <c r="J50" s="77">
        <v>2041</v>
      </c>
      <c r="K50" s="64"/>
      <c r="O50" s="66"/>
      <c r="P50" s="64"/>
      <c r="T50" s="66"/>
      <c r="U50" s="64"/>
      <c r="Y50" s="66"/>
      <c r="Z50" s="64"/>
      <c r="AD50" s="66"/>
      <c r="AE50" s="64"/>
      <c r="AI50" s="66"/>
    </row>
    <row r="51" spans="1:36" s="54" customFormat="1" ht="18.75" collapsed="1" x14ac:dyDescent="0.3">
      <c r="A51" s="100" t="s">
        <v>22</v>
      </c>
      <c r="B51" s="101" t="s">
        <v>105</v>
      </c>
      <c r="C51" s="102">
        <v>9</v>
      </c>
      <c r="D51" s="103">
        <v>360433</v>
      </c>
      <c r="E51" s="52">
        <f>D51/D3</f>
        <v>3.7041395210505146E-2</v>
      </c>
      <c r="F51" s="53"/>
      <c r="H51" s="99" t="e">
        <f>(F52/F3)/I52</f>
        <v>#DIV/0!</v>
      </c>
      <c r="I51" s="55">
        <f>J51/I3</f>
        <v>0</v>
      </c>
      <c r="J51" s="73"/>
      <c r="K51" s="53"/>
      <c r="M51" s="99" t="e">
        <f>(K52/K3)/N52</f>
        <v>#VALUE!</v>
      </c>
      <c r="N51" s="55">
        <f>O51/N3</f>
        <v>0</v>
      </c>
      <c r="O51" s="73"/>
      <c r="P51" s="53">
        <v>2</v>
      </c>
      <c r="R51" s="99" t="e">
        <f>(P52/P3)/S52</f>
        <v>#VALUE!</v>
      </c>
      <c r="S51" s="109">
        <f>T51/S3</f>
        <v>1.2012442294758388E-2</v>
      </c>
      <c r="T51" s="73">
        <f>S53*T53</f>
        <v>44098</v>
      </c>
      <c r="U51" s="53"/>
      <c r="X51" s="55">
        <f>Y51/X3</f>
        <v>0</v>
      </c>
      <c r="Y51" s="73"/>
      <c r="Z51" s="53">
        <v>6</v>
      </c>
      <c r="AC51" s="55">
        <f>AD51/AC3</f>
        <v>0.30040552584670233</v>
      </c>
      <c r="AD51" s="90">
        <v>269644</v>
      </c>
      <c r="AE51" s="53">
        <v>1</v>
      </c>
      <c r="AH51" s="55">
        <f>AI51/AH3</f>
        <v>6.2143809708872247E-2</v>
      </c>
      <c r="AI51" s="90">
        <v>46692</v>
      </c>
    </row>
    <row r="52" spans="1:36" s="2" customFormat="1" ht="18.75" hidden="1" outlineLevel="1" x14ac:dyDescent="0.3">
      <c r="A52" s="104">
        <f>E51/E52</f>
        <v>5.5973663873652217</v>
      </c>
      <c r="B52" s="105" t="s">
        <v>199</v>
      </c>
      <c r="C52" s="106"/>
      <c r="D52" s="107" t="s">
        <v>198</v>
      </c>
      <c r="E52" s="37">
        <f>C51/C3</f>
        <v>6.6176470588235293E-3</v>
      </c>
      <c r="F52" s="3"/>
      <c r="J52" s="4"/>
      <c r="K52" s="34" t="s">
        <v>181</v>
      </c>
      <c r="L52" s="2" t="s">
        <v>180</v>
      </c>
      <c r="M52" s="99"/>
      <c r="N52" s="2">
        <v>0</v>
      </c>
      <c r="O52" s="4">
        <v>9901</v>
      </c>
      <c r="P52" s="108" t="s">
        <v>183</v>
      </c>
      <c r="Q52" s="2" t="s">
        <v>182</v>
      </c>
      <c r="R52" s="26">
        <f>(S52*T52)/T51</f>
        <v>0</v>
      </c>
      <c r="S52" s="2">
        <v>0</v>
      </c>
      <c r="T52" s="4">
        <v>16902</v>
      </c>
      <c r="U52" s="108" t="s">
        <v>184</v>
      </c>
      <c r="V52" s="2" t="s">
        <v>185</v>
      </c>
      <c r="X52" s="2">
        <v>0</v>
      </c>
      <c r="Y52" s="4">
        <v>24029</v>
      </c>
      <c r="Z52" s="34" t="s">
        <v>187</v>
      </c>
      <c r="AA52" s="15" t="s">
        <v>21</v>
      </c>
      <c r="AB52" s="26">
        <f>(AC52*AD52)/AD51</f>
        <v>1.0000074171871061</v>
      </c>
      <c r="AC52" s="27">
        <v>6</v>
      </c>
      <c r="AD52" s="91">
        <v>44941</v>
      </c>
      <c r="AE52" s="34" t="s">
        <v>179</v>
      </c>
      <c r="AF52" s="15" t="s">
        <v>59</v>
      </c>
      <c r="AG52" s="26">
        <f>(AH52*AI52)/AI51</f>
        <v>1</v>
      </c>
      <c r="AH52" s="27">
        <v>1</v>
      </c>
      <c r="AI52" s="91">
        <v>46692</v>
      </c>
      <c r="AJ52" s="5"/>
    </row>
    <row r="53" spans="1:36" s="2" customFormat="1" ht="18.75" hidden="1" outlineLevel="1" x14ac:dyDescent="0.3">
      <c r="A53" s="15"/>
      <c r="B53" s="35"/>
      <c r="C53" s="96"/>
      <c r="D53" s="97"/>
      <c r="E53" s="98"/>
      <c r="F53" s="3"/>
      <c r="J53" s="4"/>
      <c r="K53" s="3"/>
      <c r="O53" s="4"/>
      <c r="P53" s="108" t="s">
        <v>197</v>
      </c>
      <c r="Q53" s="15" t="s">
        <v>60</v>
      </c>
      <c r="R53" s="26">
        <f>(S53*T53)/T51</f>
        <v>1</v>
      </c>
      <c r="S53" s="27">
        <v>2</v>
      </c>
      <c r="T53" s="91">
        <v>22049</v>
      </c>
      <c r="U53" s="3"/>
      <c r="Y53" s="4"/>
      <c r="Z53" s="108" t="s">
        <v>186</v>
      </c>
      <c r="AA53" s="2" t="s">
        <v>188</v>
      </c>
      <c r="AB53" s="26">
        <f>(AC53*AD53)/AD52</f>
        <v>0</v>
      </c>
      <c r="AC53" s="2">
        <v>0</v>
      </c>
      <c r="AD53" s="4">
        <v>36300</v>
      </c>
      <c r="AE53" s="3"/>
      <c r="AI53" s="4"/>
      <c r="AJ53" s="5"/>
    </row>
    <row r="54" spans="1:36" s="54" customFormat="1" ht="18.75" collapsed="1" x14ac:dyDescent="0.3">
      <c r="A54" s="72" t="s">
        <v>41</v>
      </c>
      <c r="B54" s="49" t="s">
        <v>41</v>
      </c>
      <c r="C54" s="50">
        <v>25</v>
      </c>
      <c r="D54" s="51">
        <v>172503</v>
      </c>
      <c r="E54" s="52">
        <f>D54/D3</f>
        <v>1.7727987720319086E-2</v>
      </c>
      <c r="F54" s="53">
        <v>2</v>
      </c>
      <c r="H54" s="99">
        <f>(F54/F3)/I54</f>
        <v>1.4019759526002316</v>
      </c>
      <c r="I54" s="55">
        <f>J54/I3</f>
        <v>2.020620385497782E-3</v>
      </c>
      <c r="J54" s="80">
        <v>5103</v>
      </c>
      <c r="K54" s="53"/>
      <c r="M54" s="99" t="e">
        <f>(K54/K3)/N54</f>
        <v>#DIV/0!</v>
      </c>
      <c r="N54" s="55">
        <f>O54/N3</f>
        <v>0</v>
      </c>
      <c r="O54" s="73"/>
      <c r="P54" s="53">
        <v>23</v>
      </c>
      <c r="R54" s="99">
        <f>(P54/P3)/S54</f>
        <v>1.4662493127362797</v>
      </c>
      <c r="S54" s="81">
        <f>T54/S3</f>
        <v>4.5598683965004889E-2</v>
      </c>
      <c r="T54" s="80">
        <v>167394</v>
      </c>
      <c r="U54" s="53"/>
      <c r="W54" s="99" t="e">
        <f>(U54/U3)/X54</f>
        <v>#DIV/0!</v>
      </c>
      <c r="X54" s="55">
        <f>Y54/X3</f>
        <v>0</v>
      </c>
      <c r="Y54" s="73"/>
      <c r="Z54" s="53"/>
      <c r="AB54" s="99" t="e">
        <f>(Z54/Z3)/AC54</f>
        <v>#DIV/0!</v>
      </c>
      <c r="AC54" s="55">
        <f>AD54/AC3</f>
        <v>0</v>
      </c>
      <c r="AD54" s="73"/>
      <c r="AE54" s="53"/>
      <c r="AG54" s="99" t="e">
        <f>(AE54/AE3)/AH54</f>
        <v>#DIV/0!</v>
      </c>
      <c r="AH54" s="55">
        <f>AI54/AH3</f>
        <v>0</v>
      </c>
      <c r="AI54" s="73"/>
    </row>
    <row r="55" spans="1:36" s="65" customFormat="1" ht="18.75" hidden="1" outlineLevel="1" x14ac:dyDescent="0.3">
      <c r="A55" s="99">
        <f>E54/E55</f>
        <v>0.9644025319853583</v>
      </c>
      <c r="B55" s="32" t="s">
        <v>199</v>
      </c>
      <c r="C55" s="61"/>
      <c r="D55" s="8" t="s">
        <v>198</v>
      </c>
      <c r="E55" s="37">
        <f>C54/C3</f>
        <v>1.8382352941176471E-2</v>
      </c>
      <c r="F55" s="76" t="s">
        <v>163</v>
      </c>
      <c r="G55" s="70" t="s">
        <v>99</v>
      </c>
      <c r="H55" s="95">
        <f>(I55*J55)/J54</f>
        <v>1.0001959631589261</v>
      </c>
      <c r="I55" s="71">
        <v>2</v>
      </c>
      <c r="J55" s="77">
        <v>2552</v>
      </c>
      <c r="K55" s="64"/>
      <c r="O55" s="66"/>
      <c r="P55" s="76" t="s">
        <v>162</v>
      </c>
      <c r="Q55" s="70" t="s">
        <v>40</v>
      </c>
      <c r="R55" s="65">
        <f>(S55*T55)/T54</f>
        <v>1</v>
      </c>
      <c r="S55" s="71">
        <v>23</v>
      </c>
      <c r="T55" s="77">
        <v>7278</v>
      </c>
      <c r="U55" s="64"/>
      <c r="Y55" s="66"/>
      <c r="Z55" s="64"/>
      <c r="AD55" s="66"/>
      <c r="AE55" s="64"/>
      <c r="AI55" s="66"/>
    </row>
    <row r="56" spans="1:36" s="54" customFormat="1" ht="18.75" collapsed="1" x14ac:dyDescent="0.3">
      <c r="A56" s="87" t="s">
        <v>106</v>
      </c>
      <c r="B56" s="73" t="s">
        <v>106</v>
      </c>
      <c r="C56" s="50">
        <v>45</v>
      </c>
      <c r="D56" s="51">
        <v>99319</v>
      </c>
      <c r="E56" s="52">
        <f>D56/D3</f>
        <v>1.0206929806405519E-2</v>
      </c>
      <c r="F56" s="53">
        <f>SUM(I57:I60)</f>
        <v>40</v>
      </c>
      <c r="H56" s="99">
        <f>(F56/F3)/I56</f>
        <v>1.8812456871951986</v>
      </c>
      <c r="I56" s="55">
        <f>J56/I3</f>
        <v>3.0116865745752657E-2</v>
      </c>
      <c r="J56" s="73">
        <v>76059</v>
      </c>
      <c r="K56" s="53">
        <v>5</v>
      </c>
      <c r="M56" s="99">
        <f>(K56/K3)/N56</f>
        <v>1.2701995114982887</v>
      </c>
      <c r="N56" s="55">
        <f>O56/N3</f>
        <v>1.5682826630599313E-2</v>
      </c>
      <c r="O56" s="80">
        <v>23260</v>
      </c>
      <c r="P56" s="53"/>
      <c r="R56" s="99" t="e">
        <f>(P56/P3)/S56</f>
        <v>#DIV/0!</v>
      </c>
      <c r="S56" s="109">
        <f>T56/S3</f>
        <v>0</v>
      </c>
      <c r="T56" s="73"/>
      <c r="U56" s="53"/>
      <c r="W56" s="99" t="e">
        <f>(U56/U3)/X56</f>
        <v>#DIV/0!</v>
      </c>
      <c r="X56" s="55">
        <f>Y56/X3</f>
        <v>0</v>
      </c>
      <c r="Y56" s="73"/>
      <c r="Z56" s="53"/>
      <c r="AB56" s="99" t="e">
        <f>(Z56/Z3)/AC56</f>
        <v>#DIV/0!</v>
      </c>
      <c r="AC56" s="55">
        <f>AD56/AC3</f>
        <v>0</v>
      </c>
      <c r="AD56" s="73"/>
      <c r="AE56" s="53"/>
      <c r="AG56" s="99" t="e">
        <f>(AE56/AE3)/AH56</f>
        <v>#DIV/0!</v>
      </c>
      <c r="AH56" s="55">
        <f>AI56/AH3</f>
        <v>0</v>
      </c>
      <c r="AI56" s="73"/>
    </row>
    <row r="57" spans="1:36" s="7" customFormat="1" ht="18.75" hidden="1" outlineLevel="1" x14ac:dyDescent="0.3">
      <c r="A57" s="99">
        <f>E56/E57</f>
        <v>0.30847610081581123</v>
      </c>
      <c r="B57" s="32" t="s">
        <v>199</v>
      </c>
      <c r="C57" s="1"/>
      <c r="D57" s="8" t="s">
        <v>198</v>
      </c>
      <c r="E57" s="37">
        <f>C56/C3</f>
        <v>3.3088235294117647E-2</v>
      </c>
      <c r="F57" s="18" t="s">
        <v>192</v>
      </c>
      <c r="G57" s="16" t="s">
        <v>62</v>
      </c>
      <c r="H57" s="94">
        <f>(I57*J57)/J56</f>
        <v>0.5608803691870784</v>
      </c>
      <c r="I57" s="19">
        <v>30</v>
      </c>
      <c r="J57" s="20">
        <v>1422</v>
      </c>
      <c r="K57" s="14" t="s">
        <v>195</v>
      </c>
      <c r="L57" s="16" t="s">
        <v>74</v>
      </c>
      <c r="M57" s="39">
        <f>(N57*O57)/O56</f>
        <v>1</v>
      </c>
      <c r="N57" s="19">
        <v>5</v>
      </c>
      <c r="O57" s="20">
        <v>4652</v>
      </c>
      <c r="P57" s="14"/>
      <c r="T57" s="21"/>
      <c r="U57" s="14"/>
      <c r="Y57" s="21"/>
      <c r="Z57" s="14"/>
      <c r="AD57" s="21"/>
      <c r="AE57" s="14"/>
      <c r="AI57" s="21"/>
    </row>
    <row r="58" spans="1:36" s="7" customFormat="1" ht="18.75" hidden="1" outlineLevel="1" x14ac:dyDescent="0.3">
      <c r="A58" s="82"/>
      <c r="B58" s="32"/>
      <c r="C58" s="1"/>
      <c r="D58" s="8"/>
      <c r="E58" s="37"/>
      <c r="F58" s="18" t="s">
        <v>146</v>
      </c>
      <c r="G58" s="16" t="s">
        <v>79</v>
      </c>
      <c r="H58" s="94">
        <f>(I58*J58)/J56</f>
        <v>0.23381848301976096</v>
      </c>
      <c r="I58" s="19">
        <v>6</v>
      </c>
      <c r="J58" s="20">
        <v>2964</v>
      </c>
      <c r="K58" s="14"/>
      <c r="O58" s="21"/>
      <c r="P58" s="14"/>
      <c r="T58" s="21"/>
      <c r="U58" s="14"/>
      <c r="Y58" s="21"/>
      <c r="Z58" s="14"/>
      <c r="AD58" s="21"/>
      <c r="AE58" s="14"/>
      <c r="AI58" s="21"/>
    </row>
    <row r="59" spans="1:36" s="7" customFormat="1" ht="18.75" hidden="1" outlineLevel="1" x14ac:dyDescent="0.3">
      <c r="A59" s="82"/>
      <c r="B59" s="32"/>
      <c r="C59" s="1"/>
      <c r="D59" s="8"/>
      <c r="E59" s="37"/>
      <c r="F59" s="18" t="s">
        <v>193</v>
      </c>
      <c r="G59" s="16" t="s">
        <v>89</v>
      </c>
      <c r="H59" s="94">
        <f>(I59*J59)/J56</f>
        <v>0.12598114621543802</v>
      </c>
      <c r="I59" s="19">
        <v>2</v>
      </c>
      <c r="J59" s="20">
        <v>4791</v>
      </c>
      <c r="K59" s="14"/>
      <c r="O59" s="21"/>
      <c r="P59" s="14"/>
      <c r="T59" s="21"/>
      <c r="U59" s="14"/>
      <c r="Y59" s="21"/>
      <c r="Z59" s="14"/>
      <c r="AD59" s="21"/>
      <c r="AE59" s="14"/>
      <c r="AI59" s="21"/>
    </row>
    <row r="60" spans="1:36" s="65" customFormat="1" ht="18.75" hidden="1" outlineLevel="1" x14ac:dyDescent="0.3">
      <c r="A60" s="75"/>
      <c r="B60" s="60"/>
      <c r="C60" s="61"/>
      <c r="D60" s="62"/>
      <c r="E60" s="63"/>
      <c r="F60" s="76" t="s">
        <v>194</v>
      </c>
      <c r="G60" s="70" t="s">
        <v>97</v>
      </c>
      <c r="H60" s="95">
        <f>(I60*J60)/J56</f>
        <v>7.9149081633994658E-2</v>
      </c>
      <c r="I60" s="71">
        <v>2</v>
      </c>
      <c r="J60" s="77">
        <v>3010</v>
      </c>
      <c r="K60" s="64"/>
      <c r="O60" s="66"/>
      <c r="P60" s="64"/>
      <c r="T60" s="66"/>
      <c r="U60" s="64"/>
      <c r="Y60" s="66"/>
      <c r="Z60" s="64"/>
      <c r="AD60" s="66"/>
      <c r="AE60" s="64"/>
      <c r="AI60" s="66"/>
    </row>
    <row r="61" spans="1:36" s="54" customFormat="1" ht="18.75" collapsed="1" x14ac:dyDescent="0.3">
      <c r="A61" s="84" t="s">
        <v>65</v>
      </c>
      <c r="B61" s="88" t="s">
        <v>65</v>
      </c>
      <c r="C61" s="50">
        <v>7</v>
      </c>
      <c r="D61" s="51">
        <v>84789</v>
      </c>
      <c r="E61" s="52">
        <f>D61/D3</f>
        <v>8.713693969485372E-3</v>
      </c>
      <c r="F61" s="53"/>
      <c r="H61" s="99" t="e">
        <f>(F61/F3)/I61</f>
        <v>#DIV/0!</v>
      </c>
      <c r="I61" s="55">
        <f>J61/I3</f>
        <v>0</v>
      </c>
      <c r="J61" s="73"/>
      <c r="K61" s="53"/>
      <c r="M61" s="99" t="e">
        <f>(K61/K3)/N61</f>
        <v>#DIV/0!</v>
      </c>
      <c r="N61" s="55">
        <f>O61/N3</f>
        <v>0</v>
      </c>
      <c r="O61" s="73"/>
      <c r="P61" s="53">
        <f>SUM(S62:S64)</f>
        <v>7</v>
      </c>
      <c r="R61" s="99">
        <f>(P61/P3)/S61</f>
        <v>1.011503554321767</v>
      </c>
      <c r="S61" s="109">
        <f>T61/S3</f>
        <v>2.0116986336521089E-2</v>
      </c>
      <c r="T61" s="73">
        <v>73850</v>
      </c>
      <c r="U61" s="53"/>
      <c r="W61" s="99" t="e">
        <f>(U61/U3)/X61</f>
        <v>#DIV/0!</v>
      </c>
      <c r="X61" s="55">
        <f>Y61/X3</f>
        <v>0</v>
      </c>
      <c r="Y61" s="73"/>
      <c r="Z61" s="53"/>
      <c r="AB61" s="99" t="e">
        <f>(Z61/Z3)/AC61</f>
        <v>#DIV/0!</v>
      </c>
      <c r="AC61" s="55">
        <f>AD61/AC3</f>
        <v>0</v>
      </c>
      <c r="AD61" s="73"/>
      <c r="AE61" s="53"/>
      <c r="AG61" s="99" t="e">
        <f>(AE61/AE3)/AH61</f>
        <v>#DIV/0!</v>
      </c>
      <c r="AH61" s="57">
        <f>AI61/AH3</f>
        <v>0</v>
      </c>
      <c r="AI61" s="73"/>
    </row>
    <row r="62" spans="1:36" s="7" customFormat="1" ht="18.75" hidden="1" outlineLevel="1" x14ac:dyDescent="0.3">
      <c r="A62" s="99">
        <f>E61/E62</f>
        <v>1.6929462569285865</v>
      </c>
      <c r="B62" s="32" t="s">
        <v>199</v>
      </c>
      <c r="C62" s="1"/>
      <c r="D62" s="8" t="s">
        <v>198</v>
      </c>
      <c r="E62" s="37">
        <f>C61/C3</f>
        <v>5.1470588235294117E-3</v>
      </c>
      <c r="F62" s="14"/>
      <c r="J62" s="21"/>
      <c r="K62" s="14"/>
      <c r="O62" s="21"/>
      <c r="P62" s="18" t="s">
        <v>189</v>
      </c>
      <c r="Q62" s="16" t="s">
        <v>64</v>
      </c>
      <c r="R62" s="94">
        <f>(S62*T62)/T61</f>
        <v>0.5115233581584292</v>
      </c>
      <c r="S62" s="19">
        <v>3</v>
      </c>
      <c r="T62" s="20">
        <v>12592</v>
      </c>
      <c r="U62" s="14"/>
      <c r="Y62" s="21"/>
      <c r="Z62" s="14"/>
      <c r="AD62" s="21"/>
      <c r="AE62" s="14"/>
      <c r="AI62" s="21"/>
    </row>
    <row r="63" spans="1:36" s="7" customFormat="1" ht="18.75" hidden="1" outlineLevel="1" x14ac:dyDescent="0.3">
      <c r="A63" s="82"/>
      <c r="B63" s="32"/>
      <c r="C63" s="1"/>
      <c r="D63" s="8"/>
      <c r="E63" s="37"/>
      <c r="F63" s="14"/>
      <c r="J63" s="21"/>
      <c r="K63" s="14"/>
      <c r="O63" s="21"/>
      <c r="P63" s="18" t="s">
        <v>190</v>
      </c>
      <c r="Q63" s="16" t="s">
        <v>75</v>
      </c>
      <c r="R63" s="94">
        <f>(S63*T63)/T61</f>
        <v>0.45968855788761004</v>
      </c>
      <c r="S63" s="19">
        <v>3</v>
      </c>
      <c r="T63" s="20">
        <v>11316</v>
      </c>
      <c r="U63" s="14"/>
      <c r="Y63" s="21"/>
      <c r="Z63" s="14"/>
      <c r="AD63" s="21"/>
      <c r="AE63" s="14"/>
      <c r="AI63" s="21"/>
    </row>
    <row r="64" spans="1:36" s="65" customFormat="1" ht="18.75" hidden="1" outlineLevel="1" x14ac:dyDescent="0.3">
      <c r="A64" s="75"/>
      <c r="B64" s="60"/>
      <c r="C64" s="61"/>
      <c r="D64" s="62"/>
      <c r="E64" s="63"/>
      <c r="F64" s="64"/>
      <c r="J64" s="66"/>
      <c r="K64" s="64"/>
      <c r="O64" s="66"/>
      <c r="P64" s="76" t="s">
        <v>191</v>
      </c>
      <c r="Q64" s="70" t="s">
        <v>85</v>
      </c>
      <c r="R64" s="95">
        <f>(S64*T64)/T61</f>
        <v>0.17693974272173324</v>
      </c>
      <c r="S64" s="71">
        <v>1</v>
      </c>
      <c r="T64" s="77">
        <v>13067</v>
      </c>
      <c r="U64" s="64"/>
      <c r="Y64" s="66"/>
      <c r="Z64" s="64"/>
      <c r="AD64" s="66"/>
      <c r="AE64" s="64"/>
      <c r="AI64" s="66"/>
    </row>
    <row r="65" spans="1:35" s="54" customFormat="1" ht="18.75" collapsed="1" x14ac:dyDescent="0.3">
      <c r="A65" s="84" t="s">
        <v>67</v>
      </c>
      <c r="B65" s="88" t="s">
        <v>68</v>
      </c>
      <c r="C65" s="50">
        <v>12</v>
      </c>
      <c r="D65" s="51">
        <v>36082</v>
      </c>
      <c r="E65" s="52">
        <f>D65/D3</f>
        <v>3.7081166873883542E-3</v>
      </c>
      <c r="F65" s="53">
        <v>11</v>
      </c>
      <c r="H65" s="99">
        <f>(F65/F3)/I65</f>
        <v>1.1813900403415014</v>
      </c>
      <c r="I65" s="55">
        <f>J65/I3</f>
        <v>1.3188477989373825E-2</v>
      </c>
      <c r="J65" s="80">
        <v>33307</v>
      </c>
      <c r="K65" s="53"/>
      <c r="M65" s="99" t="e">
        <f>(K65/K3)/N65</f>
        <v>#DIV/0!</v>
      </c>
      <c r="N65" s="55">
        <f>O65/N3</f>
        <v>0</v>
      </c>
      <c r="O65" s="73"/>
      <c r="P65" s="53"/>
      <c r="R65" s="99" t="e">
        <f>(P65/P3)/S65</f>
        <v>#DIV/0!</v>
      </c>
      <c r="S65" s="109">
        <f>T65/S3</f>
        <v>0</v>
      </c>
      <c r="T65" s="73"/>
      <c r="U65" s="53"/>
      <c r="W65" s="99" t="e">
        <f>(U65/U3)/X65</f>
        <v>#DIV/0!</v>
      </c>
      <c r="X65" s="55">
        <f>Y65/X3</f>
        <v>0</v>
      </c>
      <c r="Y65" s="73"/>
      <c r="Z65" s="53"/>
      <c r="AB65" s="99" t="e">
        <f>(Z65/Z3)/AC65</f>
        <v>#DIV/0!</v>
      </c>
      <c r="AC65" s="55">
        <f>AD65/AC3</f>
        <v>0</v>
      </c>
      <c r="AD65" s="73"/>
      <c r="AE65" s="53"/>
      <c r="AG65" s="99" t="e">
        <f>(AE65/AE3)/AH65</f>
        <v>#DIV/0!</v>
      </c>
      <c r="AH65" s="55">
        <f>AI65/AH3</f>
        <v>0</v>
      </c>
      <c r="AI65" s="73"/>
    </row>
    <row r="66" spans="1:35" s="65" customFormat="1" ht="18.75" hidden="1" outlineLevel="1" x14ac:dyDescent="0.3">
      <c r="A66" s="99">
        <f>E65/E66</f>
        <v>0.42025322457068015</v>
      </c>
      <c r="B66" s="32" t="s">
        <v>199</v>
      </c>
      <c r="C66" s="61"/>
      <c r="D66" s="8" t="s">
        <v>198</v>
      </c>
      <c r="E66" s="37">
        <f>C65/C3</f>
        <v>8.8235294117647058E-3</v>
      </c>
      <c r="F66" s="76" t="s">
        <v>166</v>
      </c>
      <c r="G66" s="70" t="s">
        <v>66</v>
      </c>
      <c r="H66" s="95">
        <f>(I66*J66)/J65</f>
        <v>1.0000300237187378</v>
      </c>
      <c r="I66" s="71">
        <v>11</v>
      </c>
      <c r="J66" s="77">
        <v>3028</v>
      </c>
      <c r="K66" s="64"/>
      <c r="O66" s="66"/>
      <c r="P66" s="64"/>
      <c r="T66" s="66"/>
      <c r="U66" s="64"/>
      <c r="Y66" s="66"/>
      <c r="Z66" s="64"/>
      <c r="AD66" s="66"/>
      <c r="AE66" s="64"/>
      <c r="AI66" s="66"/>
    </row>
    <row r="67" spans="1:35" s="54" customFormat="1" ht="18.75" collapsed="1" x14ac:dyDescent="0.3">
      <c r="A67" s="84" t="s">
        <v>83</v>
      </c>
      <c r="B67" s="88" t="s">
        <v>84</v>
      </c>
      <c r="C67" s="50">
        <v>7</v>
      </c>
      <c r="D67" s="51">
        <v>25206</v>
      </c>
      <c r="E67" s="52">
        <f>D67/D3</f>
        <v>2.5903993465525984E-3</v>
      </c>
      <c r="F67" s="53">
        <f>SUM(I68:I69)</f>
        <v>7</v>
      </c>
      <c r="H67" s="99">
        <f>(F67/F3)/I67</f>
        <v>0.99341392927939498</v>
      </c>
      <c r="I67" s="55">
        <f>J67/I3</f>
        <v>9.980748076985518E-3</v>
      </c>
      <c r="J67" s="73">
        <v>25206</v>
      </c>
      <c r="K67" s="53"/>
      <c r="M67" s="99" t="e">
        <f>(K67/K3)/N67</f>
        <v>#DIV/0!</v>
      </c>
      <c r="N67" s="55">
        <f>O67/N3</f>
        <v>0</v>
      </c>
      <c r="O67" s="73"/>
      <c r="P67" s="53"/>
      <c r="R67" s="99" t="e">
        <f>(P67/P3)/S67</f>
        <v>#DIV/0!</v>
      </c>
      <c r="S67" s="109">
        <f>T67/S3</f>
        <v>0</v>
      </c>
      <c r="T67" s="73"/>
      <c r="U67" s="53"/>
      <c r="W67" s="99" t="e">
        <f>(U67/U3)/X67</f>
        <v>#DIV/0!</v>
      </c>
      <c r="X67" s="55">
        <f>Y67/X3</f>
        <v>0</v>
      </c>
      <c r="Y67" s="73"/>
      <c r="Z67" s="53"/>
      <c r="AB67" s="99" t="e">
        <f>(Z67/Z3)/AC67</f>
        <v>#DIV/0!</v>
      </c>
      <c r="AC67" s="55">
        <f>AD67/AC3</f>
        <v>0</v>
      </c>
      <c r="AD67" s="73"/>
      <c r="AE67" s="53"/>
      <c r="AG67" s="99" t="e">
        <f>(AE67/AE3)/AH67</f>
        <v>#DIV/0!</v>
      </c>
      <c r="AH67" s="81">
        <f>AI67/AH3</f>
        <v>0</v>
      </c>
      <c r="AI67" s="73"/>
    </row>
    <row r="68" spans="1:35" s="7" customFormat="1" ht="18.75" hidden="1" outlineLevel="1" x14ac:dyDescent="0.3">
      <c r="A68" s="99">
        <f>E67/E68</f>
        <v>0.5032775873302191</v>
      </c>
      <c r="B68" s="32" t="s">
        <v>199</v>
      </c>
      <c r="C68" s="1"/>
      <c r="D68" s="8" t="s">
        <v>198</v>
      </c>
      <c r="E68" s="37">
        <f>C67/C3</f>
        <v>5.1470588235294117E-3</v>
      </c>
      <c r="F68" s="18" t="s">
        <v>165</v>
      </c>
      <c r="G68" s="16" t="s">
        <v>82</v>
      </c>
      <c r="H68" s="94">
        <f>(I68*J68)/J67</f>
        <v>0.58557486312782669</v>
      </c>
      <c r="I68" s="19">
        <v>4</v>
      </c>
      <c r="J68" s="20">
        <v>3690</v>
      </c>
      <c r="K68" s="14"/>
      <c r="O68" s="21"/>
      <c r="P68" s="14"/>
      <c r="T68" s="21"/>
      <c r="U68" s="14"/>
      <c r="Y68" s="21"/>
      <c r="Z68" s="14"/>
      <c r="AD68" s="21"/>
      <c r="AE68" s="14"/>
      <c r="AI68" s="21"/>
    </row>
    <row r="69" spans="1:35" s="65" customFormat="1" ht="18.75" hidden="1" outlineLevel="1" x14ac:dyDescent="0.3">
      <c r="A69" s="75"/>
      <c r="B69" s="89"/>
      <c r="C69" s="61"/>
      <c r="D69" s="62"/>
      <c r="E69" s="63"/>
      <c r="F69" s="76" t="s">
        <v>164</v>
      </c>
      <c r="G69" s="70" t="s">
        <v>87</v>
      </c>
      <c r="H69" s="95">
        <f>(I69*J69)/J67</f>
        <v>0.41442513687217331</v>
      </c>
      <c r="I69" s="71">
        <v>3</v>
      </c>
      <c r="J69" s="77">
        <v>3482</v>
      </c>
      <c r="K69" s="64"/>
      <c r="O69" s="66"/>
      <c r="P69" s="64"/>
      <c r="T69" s="66"/>
      <c r="U69" s="64"/>
      <c r="Y69" s="66"/>
      <c r="Z69" s="64"/>
      <c r="AD69" s="66"/>
      <c r="AE69" s="64"/>
      <c r="AI69" s="66"/>
    </row>
    <row r="70" spans="1:35" collapsed="1" x14ac:dyDescent="0.25"/>
    <row r="71" spans="1:35" s="112" customFormat="1" ht="18.75" x14ac:dyDescent="0.25">
      <c r="A71" s="110"/>
      <c r="B71" s="111"/>
      <c r="C71" s="159" t="s">
        <v>200</v>
      </c>
      <c r="D71" s="157"/>
      <c r="E71" s="158"/>
      <c r="F71" s="156">
        <f>I3/F3</f>
        <v>3577.14164305949</v>
      </c>
      <c r="G71" s="157"/>
      <c r="H71" s="157"/>
      <c r="I71" s="157"/>
      <c r="J71" s="158"/>
      <c r="K71" s="156">
        <f>N3/K3</f>
        <v>5908.9681274900395</v>
      </c>
      <c r="L71" s="157"/>
      <c r="M71" s="157"/>
      <c r="N71" s="157"/>
      <c r="O71" s="158"/>
      <c r="P71" s="156">
        <f>S3/P3</f>
        <v>10671.362498094644</v>
      </c>
      <c r="Q71" s="157"/>
      <c r="R71" s="157"/>
      <c r="S71" s="157"/>
      <c r="T71" s="158"/>
      <c r="U71" s="156">
        <f>X3/U3</f>
        <v>22756.933333333334</v>
      </c>
      <c r="V71" s="157"/>
      <c r="W71" s="157"/>
      <c r="X71" s="157"/>
      <c r="Y71" s="158"/>
      <c r="Z71" s="156">
        <f>AC3/Z3</f>
        <v>30951.724137931036</v>
      </c>
      <c r="AA71" s="157"/>
      <c r="AB71" s="157"/>
      <c r="AC71" s="157"/>
      <c r="AD71" s="158"/>
      <c r="AE71" s="156">
        <f>AH3/AE3</f>
        <v>107336.28571428571</v>
      </c>
      <c r="AF71" s="157"/>
      <c r="AG71" s="157"/>
      <c r="AH71" s="157"/>
      <c r="AI71" s="158"/>
    </row>
  </sheetData>
  <autoFilter ref="D2:D67" xr:uid="{A5FEB4E5-059F-4595-B6ED-6E06763CAC30}">
    <sortState xmlns:xlrd2="http://schemas.microsoft.com/office/spreadsheetml/2017/richdata2" ref="A3:E67">
      <sortCondition descending="1" ref="D2:D67"/>
    </sortState>
  </autoFilter>
  <mergeCells count="13">
    <mergeCell ref="Z71:AD71"/>
    <mergeCell ref="AE71:AI71"/>
    <mergeCell ref="C71:E71"/>
    <mergeCell ref="K71:O71"/>
    <mergeCell ref="F71:J71"/>
    <mergeCell ref="P71:T71"/>
    <mergeCell ref="U71:Y71"/>
    <mergeCell ref="Z1:AD1"/>
    <mergeCell ref="AE1:AI1"/>
    <mergeCell ref="F1:J1"/>
    <mergeCell ref="K1:O1"/>
    <mergeCell ref="P1:T1"/>
    <mergeCell ref="U1:Y1"/>
  </mergeCells>
  <conditionalFormatting sqref="A5 A28 A39 A43 A46 A49 A52 A55 A57 A62 A66 A6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 E27 E38 E42 E45 E48 E51 E54 E56 E61 E65 E67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{ECAFB819-5840-4018-BBE6-6770891F4712}</x14:id>
        </ext>
      </extLst>
    </cfRule>
  </conditionalFormatting>
  <conditionalFormatting sqref="E5 E28 E39 E43 E46 E49 E52 E57 E62 E66 E68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{3B50F9C1-BE18-4E43-8F08-F10F965EB2F6}</x14:id>
        </ext>
      </extLst>
    </cfRule>
  </conditionalFormatting>
  <conditionalFormatting sqref="E5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{BACB1AA0-564A-4B5B-8719-9C4723719344}</x14:id>
        </ext>
      </extLst>
    </cfRule>
  </conditionalFormatting>
  <conditionalFormatting sqref="H5"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{D7694655-0962-4C03-8C61-79E12AB2F3DA}</x14:id>
        </ext>
      </extLst>
    </cfRule>
  </conditionalFormatting>
  <conditionalFormatting sqref="H28:H37">
    <cfRule type="dataBar" priority="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{76ABBF03-F24E-4EDD-87BB-F0BC27C2B044}</x14:id>
        </ext>
      </extLst>
    </cfRule>
  </conditionalFormatting>
  <conditionalFormatting sqref="H39">
    <cfRule type="dataBar" priority="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{1A452351-291C-48F4-B726-E0CFD0A767A9}</x14:id>
        </ext>
      </extLst>
    </cfRule>
  </conditionalFormatting>
  <conditionalFormatting sqref="H43">
    <cfRule type="dataBar" priority="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{972B52E5-A087-479A-8B70-A1D9E253A87A}</x14:id>
        </ext>
      </extLst>
    </cfRule>
  </conditionalFormatting>
  <conditionalFormatting sqref="H43:H44">
    <cfRule type="dataBar" priority="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{CE64793D-AF7C-433A-A1B9-368122C624D1}</x14:id>
        </ext>
      </extLst>
    </cfRule>
  </conditionalFormatting>
  <conditionalFormatting sqref="H44"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{017A11F1-DABC-4AE3-BDAE-CAD2573BCB1F}</x14:id>
        </ext>
      </extLst>
    </cfRule>
  </conditionalFormatting>
  <conditionalFormatting sqref="H46:H47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{03158154-DECB-4728-8102-468097D147EA}</x14:id>
        </ext>
      </extLst>
    </cfRule>
  </conditionalFormatting>
  <conditionalFormatting sqref="H49:H50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{749E3956-EDCA-4234-9C9B-3E807F5DB0F7}</x14:id>
        </ext>
      </extLst>
    </cfRule>
  </conditionalFormatting>
  <conditionalFormatting sqref="H57:H60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{3025F2A9-5931-4228-9C54-007DE3129A0C}</x14:id>
        </ext>
      </extLst>
    </cfRule>
  </conditionalFormatting>
  <conditionalFormatting sqref="H66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{45D50A53-6212-4D9D-9CFE-95A5104C3995}</x14:id>
        </ext>
      </extLst>
    </cfRule>
  </conditionalFormatting>
  <conditionalFormatting sqref="H68:H6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{1F10CBA8-C067-437B-AA83-25CE8F535FC7}</x14:id>
        </ext>
      </extLst>
    </cfRule>
  </conditionalFormatting>
  <conditionalFormatting sqref="I4 I27 I38 I42 I45 I48 I51 I54 I56 I61 I65 I6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{F32A5CA7-154B-4142-94B8-FE3096E1B821}</x14:id>
        </ext>
      </extLst>
    </cfRule>
  </conditionalFormatting>
  <conditionalFormatting sqref="K5:K26">
    <cfRule type="duplicateValues" dxfId="4" priority="92"/>
  </conditionalFormatting>
  <conditionalFormatting sqref="M5"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{AA4256D2-5928-406B-8663-9C211213EEB8}</x14:id>
        </ext>
      </extLst>
    </cfRule>
  </conditionalFormatting>
  <conditionalFormatting sqref="M5:M10"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{2AAD8AA4-9B6B-4A79-BF2F-D81A3930B5B5}</x14:id>
        </ext>
      </extLst>
    </cfRule>
  </conditionalFormatting>
  <conditionalFormatting sqref="M5:M11"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{832994D0-7E58-4168-9EFC-24DEF3F5BFC8}</x14:id>
        </ext>
      </extLst>
    </cfRule>
  </conditionalFormatting>
  <conditionalFormatting sqref="M6"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{65026F87-21DF-4824-96AA-4ABB08C79443}</x14:id>
        </ext>
      </extLst>
    </cfRule>
  </conditionalFormatting>
  <conditionalFormatting sqref="M7"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{F45B1CD4-1E23-4CFC-ABCE-5145951CB5AF}</x14:id>
        </ext>
      </extLst>
    </cfRule>
  </conditionalFormatting>
  <conditionalFormatting sqref="M8"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{644FEDA2-7C5A-43C5-99D3-0A9873A2F5A2}</x14:id>
        </ext>
      </extLst>
    </cfRule>
  </conditionalFormatting>
  <conditionalFormatting sqref="M9"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{01149D52-4E6C-4672-ABA3-180C9D6C9AC6}</x14:id>
        </ext>
      </extLst>
    </cfRule>
  </conditionalFormatting>
  <conditionalFormatting sqref="M10"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{636A0DBD-5141-4BA6-B62C-FCFCFC129EC6}</x14:id>
        </ext>
      </extLst>
    </cfRule>
  </conditionalFormatting>
  <conditionalFormatting sqref="M39"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{641FB5EA-7666-4C61-833B-070018D624C2}</x14:id>
        </ext>
      </extLst>
    </cfRule>
  </conditionalFormatting>
  <conditionalFormatting sqref="M39:M40">
    <cfRule type="dataBar" priority="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{CA82CE30-2903-4361-BD87-DEC48147C51E}</x14:id>
        </ext>
      </extLst>
    </cfRule>
  </conditionalFormatting>
  <conditionalFormatting sqref="M40">
    <cfRule type="dataBar" priority="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{901E4FA5-81D9-41F6-8605-1FD96C0933EB}</x14:id>
        </ext>
      </extLst>
    </cfRule>
  </conditionalFormatting>
  <conditionalFormatting sqref="M4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{D8404E43-6459-42F0-A4CD-6AE96C41B5E5}</x14:id>
        </ext>
      </extLst>
    </cfRule>
  </conditionalFormatting>
  <conditionalFormatting sqref="M57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{7AB244CF-CF74-4BC3-9F13-F9AD9613C24C}</x14:id>
        </ext>
      </extLst>
    </cfRule>
  </conditionalFormatting>
  <conditionalFormatting sqref="N4 N27 N38 N42 N45 N48 N51 N54 N56 N61 N65 N6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{9534D6AE-3E11-4843-9DCB-0D3B5F44FCF6}</x14:id>
        </ext>
      </extLst>
    </cfRule>
  </conditionalFormatting>
  <conditionalFormatting sqref="P5:P26">
    <cfRule type="duplicateValues" dxfId="3" priority="87"/>
    <cfRule type="duplicateValues" dxfId="2" priority="86"/>
  </conditionalFormatting>
  <conditionalFormatting sqref="R5"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{CD519212-C5B1-48B9-BA17-68302C17EFED}</x14:id>
        </ext>
      </extLst>
    </cfRule>
  </conditionalFormatting>
  <conditionalFormatting sqref="R5:R10"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{05279BE6-F254-45AD-A3BD-64CB34E58324}</x14:id>
        </ext>
      </extLst>
    </cfRule>
  </conditionalFormatting>
  <conditionalFormatting sqref="R5:R26">
    <cfRule type="dataBar" priority="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{EEBBB0D8-C23A-47C9-BA92-AF9A78997983}</x14:id>
        </ext>
      </extLst>
    </cfRule>
  </conditionalFormatting>
  <conditionalFormatting sqref="R6"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{78BB0338-B4F0-4644-99AC-21FAB1608A7C}</x14:id>
        </ext>
      </extLst>
    </cfRule>
  </conditionalFormatting>
  <conditionalFormatting sqref="R7"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{737165AC-7CE6-479B-8FB2-8AC8423E8CF0}</x14:id>
        </ext>
      </extLst>
    </cfRule>
  </conditionalFormatting>
  <conditionalFormatting sqref="R8"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{619BEDE3-0FC5-49C9-876A-1CEEA6F03FE5}</x14:id>
        </ext>
      </extLst>
    </cfRule>
  </conditionalFormatting>
  <conditionalFormatting sqref="R9"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{FAA107EE-A541-4BD4-AC09-3CC9E33EFA2E}</x14:id>
        </ext>
      </extLst>
    </cfRule>
  </conditionalFormatting>
  <conditionalFormatting sqref="R10"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{D35AACF5-6546-41FB-A11B-46FA87F7739D}</x14:id>
        </ext>
      </extLst>
    </cfRule>
  </conditionalFormatting>
  <conditionalFormatting sqref="R11:R26"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{86854964-F937-4033-92D1-42F727D89DD4}</x14:id>
        </ext>
      </extLst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{39C513FA-B191-47AE-BC33-E1D156DEA378}</x14:id>
        </ext>
      </extLst>
    </cfRule>
  </conditionalFormatting>
  <conditionalFormatting sqref="R39">
    <cfRule type="dataBar" priority="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{70088D9B-B068-48E0-8BF8-6C1E75661740}</x14:id>
        </ext>
      </extLst>
    </cfRule>
  </conditionalFormatting>
  <conditionalFormatting sqref="R40">
    <cfRule type="dataBar" priority="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{DD12DC22-3143-44F2-A718-C35F01E1C4C3}</x14:id>
        </ext>
      </extLst>
    </cfRule>
  </conditionalFormatting>
  <conditionalFormatting sqref="R46:R47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{7584809C-EBBE-4788-AC97-AE260BE08BF0}</x14:id>
        </ext>
      </extLst>
    </cfRule>
  </conditionalFormatting>
  <conditionalFormatting sqref="R49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{CC8F7BCD-CB6A-46F3-8871-EBF79A065D44}</x14:id>
        </ext>
      </extLst>
    </cfRule>
  </conditionalFormatting>
  <conditionalFormatting sqref="R52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{70F01417-B4A0-4453-9BB5-FA1924865D16}</x14:id>
        </ext>
      </extLst>
    </cfRule>
  </conditionalFormatting>
  <conditionalFormatting sqref="R53">
    <cfRule type="dataBar" priority="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{5DECEA0C-2B34-481B-8AD0-4346C76FF59A}</x14:id>
        </ext>
      </extLst>
    </cfRule>
  </conditionalFormatting>
  <conditionalFormatting sqref="R62:R64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{558EDB52-9120-4B8C-964B-C6A7E2518A90}</x14:id>
        </ext>
      </extLst>
    </cfRule>
  </conditionalFormatting>
  <conditionalFormatting sqref="S4 S27 S38 S42 S45 S51 S56 S61 S65 S67 S4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{DACE777A-CEE7-4F1D-995F-4DAFD6BFCCBC}</x14:id>
        </ext>
      </extLst>
    </cfRule>
  </conditionalFormatting>
  <conditionalFormatting sqref="T68:T69 T66 T62:T64 T55:T60 T52:T53 T49:T50 T46:T47 T39:T44 T28:T37 T5:T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9:W41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{520BDB3B-6A82-49AE-BC0E-1E4CAA496E9E}</x14:id>
        </ext>
      </extLst>
    </cfRule>
  </conditionalFormatting>
  <conditionalFormatting sqref="W43">
    <cfRule type="dataBar" priority="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{F7E9CDCC-ED86-423D-9316-D4C71CF4B220}</x14:id>
        </ext>
      </extLst>
    </cfRule>
  </conditionalFormatting>
  <conditionalFormatting sqref="W46:W47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{9BF30867-7E85-401A-9F32-045481888CF8}</x14:id>
        </ext>
      </extLst>
    </cfRule>
  </conditionalFormatting>
  <conditionalFormatting sqref="X65 X67 X61 X56 X54 X51 X48 X45 X42 X38 X27 X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{D6713C0A-2862-4D0B-9054-FCECD86A0759}</x14:id>
        </ext>
      </extLst>
    </cfRule>
  </conditionalFormatting>
  <conditionalFormatting sqref="Y46:Y50 Y52 Y43:Y44 Y39:Y4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:Z6">
    <cfRule type="duplicateValues" dxfId="1" priority="84"/>
    <cfRule type="duplicateValues" dxfId="0" priority="85"/>
  </conditionalFormatting>
  <conditionalFormatting sqref="AB5"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{0519560D-4EC5-4FF0-A021-2B387F24C2B7}</x14:id>
        </ext>
      </extLst>
    </cfRule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{F75835C7-54DE-43A0-B3C5-4718B38106F5}</x14:id>
        </ext>
      </extLst>
    </cfRule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{9C696232-FC02-478A-99C7-76D922B0022C}</x14:id>
        </ext>
      </extLst>
    </cfRule>
  </conditionalFormatting>
  <conditionalFormatting sqref="AB6">
    <cfRule type="dataBar" priority="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{0AF37E97-0FAC-453E-B6EF-8B63290171DD}</x14:id>
        </ext>
      </extLst>
    </cfRule>
    <cfRule type="dataBar" priority="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{2BACE68F-4873-4A27-B412-CFA9FBCC7F3B}</x14:id>
        </ext>
      </extLst>
    </cfRule>
    <cfRule type="dataBar" priority="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{6B81E2AD-8E89-4FED-8C15-47CD4C64BA45}</x14:id>
        </ext>
      </extLst>
    </cfRule>
  </conditionalFormatting>
  <conditionalFormatting sqref="AB43">
    <cfRule type="dataBar" priority="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{FBFDB581-8423-4228-91EB-6FD6C83A032B}</x14:id>
        </ext>
      </extLst>
    </cfRule>
  </conditionalFormatting>
  <conditionalFormatting sqref="AB52">
    <cfRule type="dataBar" priority="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{B3381FFA-07E6-47BB-B822-38E49BE9C416}</x14:id>
        </ext>
      </extLst>
    </cfRule>
  </conditionalFormatting>
  <conditionalFormatting sqref="AB53">
    <cfRule type="dataBar" priority="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{3D764E18-0FD7-44A5-8C5A-8EF3C834A41B}</x14:id>
        </ext>
      </extLst>
    </cfRule>
  </conditionalFormatting>
  <conditionalFormatting sqref="AC4 AC27 AC38 AC42 AC45 AC48 AC51 AC54 AC56 AC61 AC65 AC6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{D1A6A37C-EEB4-4D7E-9246-7B415CB2289B}</x14:id>
        </ext>
      </extLst>
    </cfRule>
  </conditionalFormatting>
  <conditionalFormatting sqref="AD5:AD6 AD43 AD52:AD5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2:AD53 AD4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{CBF17628-1CFA-4AC3-AFE8-5494C45BE47B}</x14:id>
        </ext>
      </extLst>
    </cfRule>
  </conditionalFormatting>
  <conditionalFormatting sqref="AG39:AG40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{EA4261F2-9D2C-4C67-B082-2F192AD61004}</x14:id>
        </ext>
      </extLst>
    </cfRule>
  </conditionalFormatting>
  <conditionalFormatting sqref="AG4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{DFABCB6E-D62D-4565-BAD9-A8BCC46F1471}</x14:id>
        </ext>
      </extLst>
    </cfRule>
  </conditionalFormatting>
  <conditionalFormatting sqref="AG52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{E6E61B22-0931-4E40-8ECF-33CB84EB1A05}</x14:id>
        </ext>
      </extLst>
    </cfRule>
  </conditionalFormatting>
  <conditionalFormatting sqref="AH56 AH65 AH54 AH51 AH48 AH45 AH42 AH38 AH27 AH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{F1E9CE8D-BB45-429C-BD26-99FB4B098EEB}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{A92861C5-5696-4EE4-82A4-7C71FB8C0C89}</x14:id>
        </ext>
      </extLst>
    </cfRule>
  </conditionalFormatting>
  <conditionalFormatting sqref="AI3 AD3 Y3 T3 O3 J3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{D268D73F-4A96-4B8B-B474-C2DA340B40B4}</x14:id>
        </ext>
      </extLst>
    </cfRule>
  </conditionalFormatting>
  <hyperlinks>
    <hyperlink ref="Q24" r:id="rId1" xr:uid="{2B2F82E7-3573-4BB3-B291-E30AA8DBBB4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AFB819-5840-4018-BBE6-6770891F47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E4 E27 E38 E42 E45 E48 E51 E54 E56 E61 E65 E67</xm:sqref>
        </x14:conditionalFormatting>
        <x14:conditionalFormatting xmlns:xm="http://schemas.microsoft.com/office/excel/2006/main">
          <x14:cfRule type="dataBar" id="{3B50F9C1-BE18-4E43-8F08-F10F965EB2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E5 E28 E39 E43 E46 E49 E52 E57 E62 E66 E68</xm:sqref>
        </x14:conditionalFormatting>
        <x14:conditionalFormatting xmlns:xm="http://schemas.microsoft.com/office/excel/2006/main">
          <x14:cfRule type="dataBar" id="{BACB1AA0-564A-4B5B-8719-9C472371934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E55</xm:sqref>
        </x14:conditionalFormatting>
        <x14:conditionalFormatting xmlns:xm="http://schemas.microsoft.com/office/excel/2006/main">
          <x14:cfRule type="dataBar" id="{D7694655-0962-4C03-8C61-79E12AB2F3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76ABBF03-F24E-4EDD-87BB-F0BC27C2B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H28:H37</xm:sqref>
        </x14:conditionalFormatting>
        <x14:conditionalFormatting xmlns:xm="http://schemas.microsoft.com/office/excel/2006/main">
          <x14:cfRule type="dataBar" id="{1A452351-291C-48F4-B726-E0CFD0A767A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H39</xm:sqref>
        </x14:conditionalFormatting>
        <x14:conditionalFormatting xmlns:xm="http://schemas.microsoft.com/office/excel/2006/main">
          <x14:cfRule type="dataBar" id="{972B52E5-A087-479A-8B70-A1D9E253A8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CE64793D-AF7C-433A-A1B9-368122C624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017A11F1-DABC-4AE3-BDAE-CAD2573BCB1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H44</xm:sqref>
        </x14:conditionalFormatting>
        <x14:conditionalFormatting xmlns:xm="http://schemas.microsoft.com/office/excel/2006/main">
          <x14:cfRule type="dataBar" id="{03158154-DECB-4728-8102-468097D147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749E3956-EDCA-4234-9C9B-3E807F5DB0F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H49:H50</xm:sqref>
        </x14:conditionalFormatting>
        <x14:conditionalFormatting xmlns:xm="http://schemas.microsoft.com/office/excel/2006/main">
          <x14:cfRule type="dataBar" id="{3025F2A9-5931-4228-9C54-007DE3129A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H57:H60</xm:sqref>
        </x14:conditionalFormatting>
        <x14:conditionalFormatting xmlns:xm="http://schemas.microsoft.com/office/excel/2006/main">
          <x14:cfRule type="dataBar" id="{45D50A53-6212-4D9D-9CFE-95A5104C39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H66</xm:sqref>
        </x14:conditionalFormatting>
        <x14:conditionalFormatting xmlns:xm="http://schemas.microsoft.com/office/excel/2006/main">
          <x14:cfRule type="dataBar" id="{1F10CBA8-C067-437B-AA83-25CE8F535F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H68:H69</xm:sqref>
        </x14:conditionalFormatting>
        <x14:conditionalFormatting xmlns:xm="http://schemas.microsoft.com/office/excel/2006/main">
          <x14:cfRule type="dataBar" id="{F32A5CA7-154B-4142-94B8-FE3096E1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 I27 I38 I42 I45 I48 I51 I54 I56 I61 I65 I67</xm:sqref>
        </x14:conditionalFormatting>
        <x14:conditionalFormatting xmlns:xm="http://schemas.microsoft.com/office/excel/2006/main">
          <x14:cfRule type="dataBar" id="{AA4256D2-5928-406B-8663-9C211213EE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AAD8AA4-9B6B-4A79-BF2F-D81A3930B5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M5:M10</xm:sqref>
        </x14:conditionalFormatting>
        <x14:conditionalFormatting xmlns:xm="http://schemas.microsoft.com/office/excel/2006/main">
          <x14:cfRule type="dataBar" id="{832994D0-7E58-4168-9EFC-24DEF3F5BF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M5:M11</xm:sqref>
        </x14:conditionalFormatting>
        <x14:conditionalFormatting xmlns:xm="http://schemas.microsoft.com/office/excel/2006/main">
          <x14:cfRule type="dataBar" id="{65026F87-21DF-4824-96AA-4ABB08C794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45B1CD4-1E23-4CFC-ABCE-5145951CB5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44FEDA2-7C5A-43C5-99D3-0A9873A2F5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01149D52-4E6C-4672-ABA3-180C9D6C9A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36A0DBD-5141-4BA6-B62C-FCFCFC129E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641FB5EA-7666-4C61-833B-070018D624C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M39</xm:sqref>
        </x14:conditionalFormatting>
        <x14:conditionalFormatting xmlns:xm="http://schemas.microsoft.com/office/excel/2006/main">
          <x14:cfRule type="dataBar" id="{CA82CE30-2903-4361-BD87-DEC48147C5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M39:M40</xm:sqref>
        </x14:conditionalFormatting>
        <x14:conditionalFormatting xmlns:xm="http://schemas.microsoft.com/office/excel/2006/main">
          <x14:cfRule type="dataBar" id="{901E4FA5-81D9-41F6-8605-1FD96C0933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M40</xm:sqref>
        </x14:conditionalFormatting>
        <x14:conditionalFormatting xmlns:xm="http://schemas.microsoft.com/office/excel/2006/main">
          <x14:cfRule type="dataBar" id="{D8404E43-6459-42F0-A4CD-6AE96C41B5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7AB244CF-CF74-4BC3-9F13-F9AD9613C2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M57</xm:sqref>
        </x14:conditionalFormatting>
        <x14:conditionalFormatting xmlns:xm="http://schemas.microsoft.com/office/excel/2006/main">
          <x14:cfRule type="dataBar" id="{9534D6AE-3E11-4843-9DCB-0D3B5F44FC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 N27 N38 N42 N45 N48 N51 N54 N56 N61 N65 N67</xm:sqref>
        </x14:conditionalFormatting>
        <x14:conditionalFormatting xmlns:xm="http://schemas.microsoft.com/office/excel/2006/main">
          <x14:cfRule type="dataBar" id="{CD519212-C5B1-48B9-BA17-68302C17EF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5279BE6-F254-45AD-A3BD-64CB34E583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R5:R10</xm:sqref>
        </x14:conditionalFormatting>
        <x14:conditionalFormatting xmlns:xm="http://schemas.microsoft.com/office/excel/2006/main">
          <x14:cfRule type="dataBar" id="{EEBBB0D8-C23A-47C9-BA92-AF9A789979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R5:R26</xm:sqref>
        </x14:conditionalFormatting>
        <x14:conditionalFormatting xmlns:xm="http://schemas.microsoft.com/office/excel/2006/main">
          <x14:cfRule type="dataBar" id="{78BB0338-B4F0-4644-99AC-21FAB1608A7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37165AC-7CE6-479B-8FB2-8AC8423E8CF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19BEDE3-0FC5-49C9-876A-1CEEA6F03F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A107EE-A541-4BD4-AC09-3CC9E33EFA2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35AACF5-6546-41FB-A11B-46FA87F773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6854964-F937-4033-92D1-42F727D89D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C513FA-B191-47AE-BC33-E1D156DEA3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R11:R26</xm:sqref>
        </x14:conditionalFormatting>
        <x14:conditionalFormatting xmlns:xm="http://schemas.microsoft.com/office/excel/2006/main">
          <x14:cfRule type="dataBar" id="{70088D9B-B068-48E0-8BF8-6C1E756617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DD12DC22-3143-44F2-A718-C35F01E1C4C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R40</xm:sqref>
        </x14:conditionalFormatting>
        <x14:conditionalFormatting xmlns:xm="http://schemas.microsoft.com/office/excel/2006/main">
          <x14:cfRule type="dataBar" id="{7584809C-EBBE-4788-AC97-AE260BE08BF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R46:R47</xm:sqref>
        </x14:conditionalFormatting>
        <x14:conditionalFormatting xmlns:xm="http://schemas.microsoft.com/office/excel/2006/main">
          <x14:cfRule type="dataBar" id="{CC8F7BCD-CB6A-46F3-8871-EBF79A065D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70F01417-B4A0-4453-9BB5-FA1924865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5DECEA0C-2B34-481B-8AD0-4346C76FF5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558EDB52-9120-4B8C-964B-C6A7E2518A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R62:R64</xm:sqref>
        </x14:conditionalFormatting>
        <x14:conditionalFormatting xmlns:xm="http://schemas.microsoft.com/office/excel/2006/main">
          <x14:cfRule type="dataBar" id="{DACE777A-CEE7-4F1D-995F-4DAFD6BFC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S4 S27 S38 S42 S45 S51 S56 S61 S65 S67 S48</xm:sqref>
        </x14:conditionalFormatting>
        <x14:conditionalFormatting xmlns:xm="http://schemas.microsoft.com/office/excel/2006/main">
          <x14:cfRule type="dataBar" id="{520BDB3B-6A82-49AE-BC0E-1E4CAA496E9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W39:W41</xm:sqref>
        </x14:conditionalFormatting>
        <x14:conditionalFormatting xmlns:xm="http://schemas.microsoft.com/office/excel/2006/main">
          <x14:cfRule type="dataBar" id="{F7E9CDCC-ED86-423D-9316-D4C71CF4B2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W43</xm:sqref>
        </x14:conditionalFormatting>
        <x14:conditionalFormatting xmlns:xm="http://schemas.microsoft.com/office/excel/2006/main">
          <x14:cfRule type="dataBar" id="{9BF30867-7E85-401A-9F32-045481888C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W46:W47</xm:sqref>
        </x14:conditionalFormatting>
        <x14:conditionalFormatting xmlns:xm="http://schemas.microsoft.com/office/excel/2006/main">
          <x14:cfRule type="dataBar" id="{D6713C0A-2862-4D0B-9054-FCECD86A0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X65 X67 X61 X56 X54 X51 X48 X45 X42 X38 X27 X4</xm:sqref>
        </x14:conditionalFormatting>
        <x14:conditionalFormatting xmlns:xm="http://schemas.microsoft.com/office/excel/2006/main">
          <x14:cfRule type="dataBar" id="{0519560D-4EC5-4FF0-A021-2B387F24C2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75835C7-54DE-43A0-B3C5-4718B38106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696232-FC02-478A-99C7-76D922B002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0AF37E97-0FAC-453E-B6EF-8B63290171D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BACE68F-4873-4A27-B412-CFA9FBCC7F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B81E2AD-8E89-4FED-8C15-47CD4C64BA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AB6</xm:sqref>
        </x14:conditionalFormatting>
        <x14:conditionalFormatting xmlns:xm="http://schemas.microsoft.com/office/excel/2006/main">
          <x14:cfRule type="dataBar" id="{FBFDB581-8423-4228-91EB-6FD6C83A03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B3381FFA-07E6-47BB-B822-38E49BE9C4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3D764E18-0FD7-44A5-8C5A-8EF3C834A4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D1A6A37C-EEB4-4D7E-9246-7B415CB228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AC4 AC27 AC38 AC42 AC45 AC48 AC51 AC54 AC56 AC61 AC65 AC67</xm:sqref>
        </x14:conditionalFormatting>
        <x14:conditionalFormatting xmlns:xm="http://schemas.microsoft.com/office/excel/2006/main">
          <x14:cfRule type="dataBar" id="{CBF17628-1CFA-4AC3-AFE8-5494C45BE4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AG39</xm:sqref>
        </x14:conditionalFormatting>
        <x14:conditionalFormatting xmlns:xm="http://schemas.microsoft.com/office/excel/2006/main">
          <x14:cfRule type="dataBar" id="{EA4261F2-9D2C-4C67-B082-2F192AD610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AG39:AG40</xm:sqref>
        </x14:conditionalFormatting>
        <x14:conditionalFormatting xmlns:xm="http://schemas.microsoft.com/office/excel/2006/main">
          <x14:cfRule type="dataBar" id="{DFABCB6E-D62D-4565-BAD9-A8BCC46F147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AG40</xm:sqref>
        </x14:conditionalFormatting>
        <x14:conditionalFormatting xmlns:xm="http://schemas.microsoft.com/office/excel/2006/main">
          <x14:cfRule type="dataBar" id="{E6E61B22-0931-4E40-8ECF-33CB84EB1A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AG52</xm:sqref>
        </x14:conditionalFormatting>
        <x14:conditionalFormatting xmlns:xm="http://schemas.microsoft.com/office/excel/2006/main">
          <x14:cfRule type="dataBar" id="{F1E9CE8D-BB45-429C-BD26-99FB4B098E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2861C5-5696-4EE4-82A4-7C71FB8C0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AH56 AH65 AH54 AH51 AH48 AH45 AH42 AH38 AH27 AH4</xm:sqref>
        </x14:conditionalFormatting>
        <x14:conditionalFormatting xmlns:xm="http://schemas.microsoft.com/office/excel/2006/main">
          <x14:cfRule type="dataBar" id="{D268D73F-4A96-4B8B-B474-C2DA340B40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AI3 AD3 Y3 T3 O3 J3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796B-F7A4-4B36-9475-D4C9CD3E2E7A}">
  <dimension ref="A1:AY20"/>
  <sheetViews>
    <sheetView zoomScaleNormal="100" workbookViewId="0">
      <selection activeCell="B35" sqref="B35"/>
    </sheetView>
  </sheetViews>
  <sheetFormatPr defaultRowHeight="15.75" x14ac:dyDescent="0.25"/>
  <cols>
    <col min="1" max="1" width="13.28515625" style="135" customWidth="1"/>
    <col min="2" max="2" width="15.140625" bestFit="1" customWidth="1"/>
    <col min="3" max="3" width="22.85546875" bestFit="1" customWidth="1"/>
    <col min="4" max="4" width="22.85546875" hidden="1" customWidth="1"/>
    <col min="5" max="5" width="11.140625" bestFit="1" customWidth="1"/>
    <col min="6" max="6" width="16.140625" style="138" bestFit="1" customWidth="1"/>
    <col min="7" max="8" width="17.140625" hidden="1" customWidth="1"/>
    <col min="9" max="16" width="17.140625" style="138" hidden="1" customWidth="1"/>
    <col min="17" max="21" width="11.42578125" style="139" hidden="1" customWidth="1"/>
    <col min="22" max="22" width="11.42578125" style="139" customWidth="1"/>
    <col min="23" max="23" width="11.42578125" style="140" customWidth="1"/>
    <col min="24" max="24" width="3.85546875" style="141" customWidth="1"/>
    <col min="25" max="25" width="11.28515625" style="139" hidden="1" customWidth="1"/>
    <col min="26" max="26" width="10.85546875" style="139" hidden="1" customWidth="1"/>
    <col min="27" max="30" width="11.28515625" style="139" hidden="1" customWidth="1"/>
    <col min="31" max="31" width="11.28515625" style="139" customWidth="1"/>
    <col min="32" max="32" width="11.28515625" style="140" customWidth="1"/>
    <col min="33" max="33" width="3.85546875" style="136" customWidth="1"/>
    <col min="34" max="37" width="11.140625" style="139" hidden="1" customWidth="1"/>
    <col min="38" max="38" width="11.140625" style="139" customWidth="1"/>
    <col min="39" max="39" width="11.140625" style="140" customWidth="1"/>
    <col min="40" max="40" width="4.28515625" style="136" customWidth="1"/>
    <col min="41" max="41" width="11.140625" bestFit="1" customWidth="1"/>
    <col min="42" max="42" width="15.5703125" bestFit="1" customWidth="1"/>
  </cols>
  <sheetData>
    <row r="1" spans="1:51" ht="16.5" thickBot="1" x14ac:dyDescent="0.3">
      <c r="V1" s="160" t="s">
        <v>4</v>
      </c>
      <c r="W1" s="160"/>
      <c r="AE1" s="161" t="s">
        <v>3</v>
      </c>
      <c r="AF1" s="161"/>
      <c r="AL1" s="162" t="s">
        <v>250</v>
      </c>
      <c r="AM1" s="162"/>
    </row>
    <row r="2" spans="1:51" ht="33" thickTop="1" thickBot="1" x14ac:dyDescent="0.3">
      <c r="A2" s="113" t="s">
        <v>202</v>
      </c>
      <c r="B2" s="113" t="s">
        <v>203</v>
      </c>
      <c r="C2" s="113" t="s">
        <v>248</v>
      </c>
      <c r="D2" s="113" t="s">
        <v>251</v>
      </c>
      <c r="E2" s="113" t="s">
        <v>249</v>
      </c>
      <c r="F2" s="113" t="s">
        <v>204</v>
      </c>
      <c r="G2" s="113" t="s">
        <v>205</v>
      </c>
      <c r="H2" s="113" t="s">
        <v>206</v>
      </c>
      <c r="I2" s="114" t="s">
        <v>207</v>
      </c>
      <c r="J2" s="114" t="s">
        <v>208</v>
      </c>
      <c r="K2" s="114" t="s">
        <v>209</v>
      </c>
      <c r="L2" s="114" t="s">
        <v>210</v>
      </c>
      <c r="M2" s="114" t="s">
        <v>211</v>
      </c>
      <c r="N2" s="114" t="s">
        <v>212</v>
      </c>
      <c r="O2" s="114" t="s">
        <v>213</v>
      </c>
      <c r="P2" s="114" t="s">
        <v>214</v>
      </c>
      <c r="Q2" s="115" t="s">
        <v>215</v>
      </c>
      <c r="R2" s="115" t="s">
        <v>216</v>
      </c>
      <c r="S2" s="115" t="s">
        <v>217</v>
      </c>
      <c r="T2" s="115" t="s">
        <v>218</v>
      </c>
      <c r="U2" s="115" t="s">
        <v>219</v>
      </c>
      <c r="V2" s="149" t="s">
        <v>201</v>
      </c>
      <c r="W2" s="150" t="s">
        <v>220</v>
      </c>
      <c r="X2" s="116"/>
      <c r="Y2" s="117" t="s">
        <v>221</v>
      </c>
      <c r="Z2" s="117" t="s">
        <v>222</v>
      </c>
      <c r="AA2" s="117" t="s">
        <v>223</v>
      </c>
      <c r="AB2" s="117" t="s">
        <v>224</v>
      </c>
      <c r="AC2" s="117" t="s">
        <v>225</v>
      </c>
      <c r="AD2" s="117" t="s">
        <v>219</v>
      </c>
      <c r="AE2" s="117" t="s">
        <v>201</v>
      </c>
      <c r="AF2" s="118" t="s">
        <v>220</v>
      </c>
      <c r="AG2" s="119"/>
      <c r="AH2" s="147" t="s">
        <v>226</v>
      </c>
      <c r="AI2" s="147" t="s">
        <v>227</v>
      </c>
      <c r="AJ2" s="147" t="s">
        <v>228</v>
      </c>
      <c r="AK2" s="147" t="s">
        <v>219</v>
      </c>
      <c r="AL2" s="147" t="s">
        <v>201</v>
      </c>
      <c r="AM2" s="148" t="s">
        <v>220</v>
      </c>
      <c r="AN2" s="119"/>
      <c r="AO2" s="113" t="s">
        <v>200</v>
      </c>
      <c r="AS2" s="163" t="s">
        <v>259</v>
      </c>
      <c r="AT2" s="164"/>
      <c r="AU2" s="164"/>
      <c r="AV2" s="164"/>
      <c r="AW2" s="164"/>
      <c r="AX2" s="164"/>
      <c r="AY2" s="164"/>
    </row>
    <row r="3" spans="1:51" ht="17.25" thickTop="1" thickBot="1" x14ac:dyDescent="0.3">
      <c r="A3" s="120" t="s">
        <v>235</v>
      </c>
      <c r="B3" s="121" t="s">
        <v>243</v>
      </c>
      <c r="C3" s="122">
        <f>E3*D3</f>
        <v>46692</v>
      </c>
      <c r="D3" s="151">
        <v>0.48655238889178343</v>
      </c>
      <c r="E3" s="122">
        <v>95965</v>
      </c>
      <c r="F3" s="123">
        <v>36700</v>
      </c>
      <c r="G3" s="122">
        <f t="shared" ref="G3:G10" si="0">E3*0.07</f>
        <v>6717.5500000000011</v>
      </c>
      <c r="H3" s="122">
        <f t="shared" ref="H3:H10" si="1">E3*0.01</f>
        <v>959.65</v>
      </c>
      <c r="I3" s="124">
        <v>70</v>
      </c>
      <c r="J3" s="124">
        <v>2190</v>
      </c>
      <c r="K3" s="124">
        <v>1120</v>
      </c>
      <c r="L3" s="124">
        <v>180</v>
      </c>
      <c r="M3" s="124">
        <f t="shared" ref="M3:M10" si="2">(K3*L3*J3)/1000000</f>
        <v>441.50400000000002</v>
      </c>
      <c r="N3" s="124">
        <f t="shared" ref="N3:N10" si="3">((K3*L3*J3)/1000000)/5</f>
        <v>88.30080000000001</v>
      </c>
      <c r="O3" s="124">
        <f t="shared" ref="O3:O10" si="4">MAX(I3, N3)</f>
        <v>88.30080000000001</v>
      </c>
      <c r="P3" s="124" t="s">
        <v>237</v>
      </c>
      <c r="Q3" s="125" t="s">
        <v>237</v>
      </c>
      <c r="R3" s="125" t="s">
        <v>237</v>
      </c>
      <c r="S3" s="125" t="s">
        <v>237</v>
      </c>
      <c r="T3" s="125" t="s">
        <v>237</v>
      </c>
      <c r="U3" s="125" t="s">
        <v>237</v>
      </c>
      <c r="V3" s="125" t="s">
        <v>237</v>
      </c>
      <c r="W3" s="125" t="s">
        <v>237</v>
      </c>
      <c r="X3" s="128"/>
      <c r="Y3" s="129" t="s">
        <v>237</v>
      </c>
      <c r="Z3" s="129" t="s">
        <v>237</v>
      </c>
      <c r="AA3" s="129" t="s">
        <v>237</v>
      </c>
      <c r="AB3" s="129" t="s">
        <v>237</v>
      </c>
      <c r="AC3" s="129" t="s">
        <v>237</v>
      </c>
      <c r="AD3" s="129" t="s">
        <v>237</v>
      </c>
      <c r="AE3" s="129" t="s">
        <v>237</v>
      </c>
      <c r="AF3" s="129" t="s">
        <v>237</v>
      </c>
      <c r="AG3" s="128"/>
      <c r="AH3" s="145">
        <f t="shared" ref="AH3:AH10" si="5">E3*0.49</f>
        <v>47022.85</v>
      </c>
      <c r="AI3" s="145">
        <v>5000</v>
      </c>
      <c r="AJ3" s="145">
        <f t="shared" ref="AJ3:AJ10" si="6">G3+H3+AH3+AI3</f>
        <v>59700.05</v>
      </c>
      <c r="AK3" s="145">
        <f t="shared" ref="AK3:AK8" si="7">(E3-AJ3)*0.067</f>
        <v>2429.7516500000002</v>
      </c>
      <c r="AL3" s="145">
        <f t="shared" ref="AL3:AL8" si="8">E3-AJ3-AK3</f>
        <v>33835.198349999999</v>
      </c>
      <c r="AM3" s="146">
        <f t="shared" ref="AM3:AM8" si="9">AL3/F3-1</f>
        <v>-7.8059990463215323E-2</v>
      </c>
      <c r="AN3" s="128"/>
      <c r="AO3" s="144">
        <v>46692</v>
      </c>
      <c r="AS3" s="164"/>
      <c r="AT3" s="164"/>
      <c r="AU3" s="164"/>
      <c r="AV3" s="164"/>
      <c r="AW3" s="164"/>
      <c r="AX3" s="164"/>
      <c r="AY3" s="164"/>
    </row>
    <row r="4" spans="1:51" ht="17.25" thickTop="1" thickBot="1" x14ac:dyDescent="0.3">
      <c r="A4" s="120" t="s">
        <v>233</v>
      </c>
      <c r="B4" s="121" t="s">
        <v>247</v>
      </c>
      <c r="C4" s="122">
        <f t="shared" ref="C4:C10" si="10">E4*D4</f>
        <v>59314</v>
      </c>
      <c r="D4" s="151">
        <v>0.5364415184405984</v>
      </c>
      <c r="E4" s="122">
        <v>110569.36862833073</v>
      </c>
      <c r="F4" s="123">
        <v>41783.5</v>
      </c>
      <c r="G4" s="122">
        <f t="shared" si="0"/>
        <v>7739.8558039831523</v>
      </c>
      <c r="H4" s="122">
        <f t="shared" si="1"/>
        <v>1105.6936862833074</v>
      </c>
      <c r="I4" s="124">
        <v>58</v>
      </c>
      <c r="J4" s="124">
        <v>1930</v>
      </c>
      <c r="K4" s="124">
        <v>1100</v>
      </c>
      <c r="L4" s="124">
        <v>170</v>
      </c>
      <c r="M4" s="124">
        <f t="shared" si="2"/>
        <v>360.91</v>
      </c>
      <c r="N4" s="124">
        <f t="shared" si="3"/>
        <v>72.182000000000002</v>
      </c>
      <c r="O4" s="124">
        <f t="shared" si="4"/>
        <v>72.182000000000002</v>
      </c>
      <c r="P4" s="124" t="s">
        <v>237</v>
      </c>
      <c r="Q4" s="125" t="s">
        <v>237</v>
      </c>
      <c r="R4" s="125" t="s">
        <v>237</v>
      </c>
      <c r="S4" s="125" t="s">
        <v>237</v>
      </c>
      <c r="T4" s="125" t="s">
        <v>237</v>
      </c>
      <c r="U4" s="125" t="s">
        <v>237</v>
      </c>
      <c r="V4" s="125" t="s">
        <v>237</v>
      </c>
      <c r="W4" s="125" t="s">
        <v>237</v>
      </c>
      <c r="X4" s="128"/>
      <c r="Y4" s="129">
        <f>E4*0.49</f>
        <v>54178.990627882056</v>
      </c>
      <c r="Z4" s="129">
        <v>30</v>
      </c>
      <c r="AA4" s="129">
        <v>1634</v>
      </c>
      <c r="AB4" s="129">
        <v>25</v>
      </c>
      <c r="AC4" s="129">
        <f t="shared" ref="AC4:AC10" si="11">G4+H4+Y4+Z4+AA4+AB4</f>
        <v>64713.540118148514</v>
      </c>
      <c r="AD4" s="129">
        <f t="shared" ref="AD4:AD10" si="12">(E4-AC4)*0.067</f>
        <v>3072.3405101822086</v>
      </c>
      <c r="AE4" s="129">
        <f t="shared" ref="AE4:AE10" si="13">E4-AC4-AD4</f>
        <v>42783.488000000012</v>
      </c>
      <c r="AF4" s="130">
        <f t="shared" ref="AF4:AF10" si="14">AE4/F4-1</f>
        <v>2.393260497564853E-2</v>
      </c>
      <c r="AG4" s="128"/>
      <c r="AH4" s="145">
        <f t="shared" si="5"/>
        <v>54178.990627882056</v>
      </c>
      <c r="AI4" s="145">
        <v>5000</v>
      </c>
      <c r="AJ4" s="145">
        <f t="shared" si="6"/>
        <v>68024.540118148521</v>
      </c>
      <c r="AK4" s="145">
        <f t="shared" si="7"/>
        <v>2850.5035101822082</v>
      </c>
      <c r="AL4" s="145">
        <f t="shared" si="8"/>
        <v>39694.325000000004</v>
      </c>
      <c r="AM4" s="146">
        <f t="shared" si="9"/>
        <v>-4.9999999999999933E-2</v>
      </c>
      <c r="AN4" s="128"/>
      <c r="AO4" s="144">
        <v>30951</v>
      </c>
      <c r="AS4" s="164"/>
      <c r="AT4" s="164"/>
      <c r="AU4" s="164"/>
      <c r="AV4" s="164"/>
      <c r="AW4" s="164"/>
      <c r="AX4" s="164"/>
      <c r="AY4" s="164"/>
    </row>
    <row r="5" spans="1:51" s="135" customFormat="1" ht="17.25" thickTop="1" thickBot="1" x14ac:dyDescent="0.25">
      <c r="A5" s="120" t="s">
        <v>234</v>
      </c>
      <c r="B5" s="121" t="s">
        <v>242</v>
      </c>
      <c r="C5" s="122">
        <f t="shared" si="10"/>
        <v>44941</v>
      </c>
      <c r="D5" s="151">
        <v>0.46791608100369619</v>
      </c>
      <c r="E5" s="122">
        <v>96045</v>
      </c>
      <c r="F5" s="123">
        <v>34382.699999999997</v>
      </c>
      <c r="G5" s="122">
        <f t="shared" si="0"/>
        <v>6723.1500000000005</v>
      </c>
      <c r="H5" s="122">
        <f t="shared" si="1"/>
        <v>960.45</v>
      </c>
      <c r="I5" s="124">
        <v>44</v>
      </c>
      <c r="J5" s="124">
        <v>1850</v>
      </c>
      <c r="K5" s="124">
        <v>1020</v>
      </c>
      <c r="L5" s="124">
        <v>150</v>
      </c>
      <c r="M5" s="124">
        <f t="shared" si="2"/>
        <v>283.05</v>
      </c>
      <c r="N5" s="124">
        <f t="shared" si="3"/>
        <v>56.61</v>
      </c>
      <c r="O5" s="124">
        <f t="shared" si="4"/>
        <v>56.61</v>
      </c>
      <c r="P5" s="124" t="s">
        <v>237</v>
      </c>
      <c r="Q5" s="125" t="s">
        <v>237</v>
      </c>
      <c r="R5" s="125" t="s">
        <v>237</v>
      </c>
      <c r="S5" s="125" t="s">
        <v>237</v>
      </c>
      <c r="T5" s="125" t="s">
        <v>237</v>
      </c>
      <c r="U5" s="125" t="s">
        <v>237</v>
      </c>
      <c r="V5" s="125" t="s">
        <v>237</v>
      </c>
      <c r="W5" s="125" t="s">
        <v>237</v>
      </c>
      <c r="X5" s="134"/>
      <c r="Y5" s="129">
        <f>E5*0.49</f>
        <v>47062.049999999996</v>
      </c>
      <c r="Z5" s="129">
        <v>30</v>
      </c>
      <c r="AA5" s="129">
        <v>1634</v>
      </c>
      <c r="AB5" s="129">
        <v>25</v>
      </c>
      <c r="AC5" s="129">
        <f t="shared" si="11"/>
        <v>56434.649999999994</v>
      </c>
      <c r="AD5" s="129">
        <f t="shared" si="12"/>
        <v>2653.8934500000005</v>
      </c>
      <c r="AE5" s="129">
        <f t="shared" si="13"/>
        <v>36956.456550000003</v>
      </c>
      <c r="AF5" s="130">
        <f t="shared" si="14"/>
        <v>7.4856150040572889E-2</v>
      </c>
      <c r="AG5" s="134"/>
      <c r="AH5" s="145">
        <f t="shared" si="5"/>
        <v>47062.049999999996</v>
      </c>
      <c r="AI5" s="145">
        <v>5000</v>
      </c>
      <c r="AJ5" s="145">
        <f t="shared" si="6"/>
        <v>59745.649999999994</v>
      </c>
      <c r="AK5" s="145">
        <f t="shared" si="7"/>
        <v>2432.0564500000005</v>
      </c>
      <c r="AL5" s="145">
        <f t="shared" si="8"/>
        <v>33867.293550000002</v>
      </c>
      <c r="AM5" s="146">
        <f t="shared" si="9"/>
        <v>-1.4990284358121775E-2</v>
      </c>
      <c r="AN5" s="134"/>
      <c r="AO5" s="144">
        <v>30951</v>
      </c>
      <c r="AS5" s="164"/>
      <c r="AT5" s="164"/>
      <c r="AU5" s="164"/>
      <c r="AV5" s="164"/>
      <c r="AW5" s="164"/>
      <c r="AX5" s="164"/>
      <c r="AY5" s="164"/>
    </row>
    <row r="6" spans="1:51" ht="17.25" thickTop="1" thickBot="1" x14ac:dyDescent="0.3">
      <c r="A6" s="120" t="s">
        <v>229</v>
      </c>
      <c r="B6" s="121" t="s">
        <v>241</v>
      </c>
      <c r="C6" s="122">
        <f t="shared" si="10"/>
        <v>36300</v>
      </c>
      <c r="D6" s="151">
        <v>0.47654284508231337</v>
      </c>
      <c r="E6" s="122">
        <v>76173.633440514444</v>
      </c>
      <c r="F6" s="123">
        <v>27258</v>
      </c>
      <c r="G6" s="122">
        <f t="shared" si="0"/>
        <v>5332.1543408360112</v>
      </c>
      <c r="H6" s="122">
        <f t="shared" si="1"/>
        <v>761.73633440514448</v>
      </c>
      <c r="I6" s="124">
        <v>30.5</v>
      </c>
      <c r="J6" s="124">
        <v>1042</v>
      </c>
      <c r="K6" s="124">
        <v>175</v>
      </c>
      <c r="L6" s="124">
        <v>1873</v>
      </c>
      <c r="M6" s="124">
        <f t="shared" si="2"/>
        <v>341.54154999999997</v>
      </c>
      <c r="N6" s="124">
        <f t="shared" si="3"/>
        <v>68.308309999999992</v>
      </c>
      <c r="O6" s="124">
        <f t="shared" si="4"/>
        <v>68.308309999999992</v>
      </c>
      <c r="P6" s="124" t="s">
        <v>237</v>
      </c>
      <c r="Q6" s="125" t="s">
        <v>237</v>
      </c>
      <c r="R6" s="125" t="s">
        <v>237</v>
      </c>
      <c r="S6" s="125" t="s">
        <v>237</v>
      </c>
      <c r="T6" s="125" t="s">
        <v>237</v>
      </c>
      <c r="U6" s="125" t="s">
        <v>237</v>
      </c>
      <c r="V6" s="125" t="s">
        <v>237</v>
      </c>
      <c r="W6" s="125" t="s">
        <v>237</v>
      </c>
      <c r="X6" s="128"/>
      <c r="Y6" s="129">
        <f>E6*0.49</f>
        <v>37325.080385852074</v>
      </c>
      <c r="Z6" s="129">
        <v>30</v>
      </c>
      <c r="AA6" s="129">
        <v>1223</v>
      </c>
      <c r="AB6" s="129">
        <v>25</v>
      </c>
      <c r="AC6" s="129">
        <f t="shared" si="11"/>
        <v>44696.971061093231</v>
      </c>
      <c r="AD6" s="129">
        <f t="shared" si="12"/>
        <v>2108.9363794212213</v>
      </c>
      <c r="AE6" s="129">
        <f t="shared" si="13"/>
        <v>29367.725999999991</v>
      </c>
      <c r="AF6" s="130">
        <f t="shared" si="14"/>
        <v>7.7398415144177557E-2</v>
      </c>
      <c r="AG6" s="128"/>
      <c r="AH6" s="145">
        <f t="shared" si="5"/>
        <v>37325.080385852074</v>
      </c>
      <c r="AI6" s="145">
        <v>3500</v>
      </c>
      <c r="AJ6" s="145">
        <f t="shared" si="6"/>
        <v>46918.971061093231</v>
      </c>
      <c r="AK6" s="145">
        <f t="shared" si="7"/>
        <v>1960.0623794212215</v>
      </c>
      <c r="AL6" s="145">
        <f t="shared" si="8"/>
        <v>27294.599999999991</v>
      </c>
      <c r="AM6" s="146">
        <f t="shared" si="9"/>
        <v>1.3427250715383199E-3</v>
      </c>
      <c r="AN6" s="128"/>
      <c r="AO6" s="144">
        <v>30951</v>
      </c>
      <c r="AS6" s="164"/>
      <c r="AT6" s="164"/>
      <c r="AU6" s="164"/>
      <c r="AV6" s="164"/>
      <c r="AW6" s="164"/>
      <c r="AX6" s="164"/>
      <c r="AY6" s="164"/>
    </row>
    <row r="7" spans="1:51" ht="17.25" thickTop="1" thickBot="1" x14ac:dyDescent="0.3">
      <c r="A7" s="131" t="s">
        <v>231</v>
      </c>
      <c r="B7" s="131" t="s">
        <v>240</v>
      </c>
      <c r="C7" s="122">
        <f t="shared" si="10"/>
        <v>24029</v>
      </c>
      <c r="D7" s="151">
        <v>0.47656730330616215</v>
      </c>
      <c r="E7" s="132">
        <v>50421</v>
      </c>
      <c r="F7" s="132">
        <v>15380</v>
      </c>
      <c r="G7" s="122">
        <f t="shared" si="0"/>
        <v>3529.4700000000003</v>
      </c>
      <c r="H7" s="122">
        <f t="shared" si="1"/>
        <v>504.21000000000004</v>
      </c>
      <c r="I7" s="133">
        <v>22</v>
      </c>
      <c r="J7" s="133">
        <v>1600</v>
      </c>
      <c r="K7" s="133">
        <v>820</v>
      </c>
      <c r="L7" s="133">
        <v>120</v>
      </c>
      <c r="M7" s="133">
        <f t="shared" si="2"/>
        <v>157.44</v>
      </c>
      <c r="N7" s="133">
        <f t="shared" si="3"/>
        <v>31.488</v>
      </c>
      <c r="O7" s="133">
        <f t="shared" si="4"/>
        <v>31.488</v>
      </c>
      <c r="P7" s="124" t="s">
        <v>237</v>
      </c>
      <c r="Q7" s="125" t="s">
        <v>237</v>
      </c>
      <c r="R7" s="125" t="s">
        <v>237</v>
      </c>
      <c r="S7" s="125" t="s">
        <v>237</v>
      </c>
      <c r="T7" s="125" t="s">
        <v>237</v>
      </c>
      <c r="U7" s="125" t="s">
        <v>237</v>
      </c>
      <c r="V7" s="125" t="s">
        <v>237</v>
      </c>
      <c r="W7" s="125" t="s">
        <v>237</v>
      </c>
      <c r="X7" s="128"/>
      <c r="Y7" s="129" t="s">
        <v>237</v>
      </c>
      <c r="Z7" s="129" t="s">
        <v>237</v>
      </c>
      <c r="AA7" s="129" t="s">
        <v>237</v>
      </c>
      <c r="AB7" s="129" t="s">
        <v>237</v>
      </c>
      <c r="AC7" s="129" t="s">
        <v>237</v>
      </c>
      <c r="AD7" s="129" t="s">
        <v>237</v>
      </c>
      <c r="AE7" s="129" t="s">
        <v>237</v>
      </c>
      <c r="AF7" s="129" t="s">
        <v>237</v>
      </c>
      <c r="AG7" s="128"/>
      <c r="AH7" s="145">
        <f t="shared" si="5"/>
        <v>24706.29</v>
      </c>
      <c r="AI7" s="145">
        <v>3800</v>
      </c>
      <c r="AJ7" s="145">
        <f t="shared" si="6"/>
        <v>32539.97</v>
      </c>
      <c r="AK7" s="145">
        <f t="shared" si="7"/>
        <v>1198.02901</v>
      </c>
      <c r="AL7" s="145">
        <f t="shared" si="8"/>
        <v>16683.00099</v>
      </c>
      <c r="AM7" s="146">
        <f t="shared" si="9"/>
        <v>8.4720480494148376E-2</v>
      </c>
      <c r="AN7" s="128"/>
      <c r="AO7" s="144">
        <v>22756</v>
      </c>
      <c r="AP7" t="s">
        <v>254</v>
      </c>
      <c r="AQ7">
        <v>9150</v>
      </c>
      <c r="AR7" t="s">
        <v>252</v>
      </c>
      <c r="AS7" s="164"/>
      <c r="AT7" s="164"/>
      <c r="AU7" s="164"/>
      <c r="AV7" s="164"/>
      <c r="AW7" s="164"/>
      <c r="AX7" s="164"/>
      <c r="AY7" s="164"/>
    </row>
    <row r="8" spans="1:51" ht="17.25" thickTop="1" thickBot="1" x14ac:dyDescent="0.3">
      <c r="A8" s="120" t="s">
        <v>230</v>
      </c>
      <c r="B8" s="121" t="s">
        <v>238</v>
      </c>
      <c r="C8" s="122">
        <f t="shared" si="10"/>
        <v>22049</v>
      </c>
      <c r="D8" s="151">
        <v>0.51001826032508912</v>
      </c>
      <c r="E8" s="122">
        <v>43231.785438321007</v>
      </c>
      <c r="F8" s="123">
        <v>14800</v>
      </c>
      <c r="G8" s="122">
        <f t="shared" si="0"/>
        <v>3026.2249806824707</v>
      </c>
      <c r="H8" s="122">
        <f t="shared" si="1"/>
        <v>432.31785438321009</v>
      </c>
      <c r="I8" s="124">
        <v>21.3</v>
      </c>
      <c r="J8" s="124">
        <v>1451</v>
      </c>
      <c r="K8" s="124">
        <v>142</v>
      </c>
      <c r="L8" s="124">
        <v>730</v>
      </c>
      <c r="M8" s="124">
        <f t="shared" si="2"/>
        <v>150.41066000000001</v>
      </c>
      <c r="N8" s="124">
        <f t="shared" si="3"/>
        <v>30.082132000000001</v>
      </c>
      <c r="O8" s="124">
        <f t="shared" si="4"/>
        <v>30.082132000000001</v>
      </c>
      <c r="P8" s="124" t="s">
        <v>237</v>
      </c>
      <c r="Q8" s="125" t="s">
        <v>237</v>
      </c>
      <c r="R8" s="125" t="s">
        <v>237</v>
      </c>
      <c r="S8" s="125" t="s">
        <v>237</v>
      </c>
      <c r="T8" s="125" t="s">
        <v>237</v>
      </c>
      <c r="U8" s="125" t="s">
        <v>237</v>
      </c>
      <c r="V8" s="125" t="s">
        <v>237</v>
      </c>
      <c r="W8" s="125" t="s">
        <v>237</v>
      </c>
      <c r="X8" s="128"/>
      <c r="Y8" s="129" t="s">
        <v>237</v>
      </c>
      <c r="Z8" s="129" t="s">
        <v>237</v>
      </c>
      <c r="AA8" s="129" t="s">
        <v>237</v>
      </c>
      <c r="AB8" s="129" t="s">
        <v>237</v>
      </c>
      <c r="AC8" s="129" t="s">
        <v>237</v>
      </c>
      <c r="AD8" s="129" t="s">
        <v>237</v>
      </c>
      <c r="AE8" s="129" t="s">
        <v>237</v>
      </c>
      <c r="AF8" s="129" t="s">
        <v>237</v>
      </c>
      <c r="AG8" s="128"/>
      <c r="AH8" s="145">
        <f t="shared" si="5"/>
        <v>21183.574864777293</v>
      </c>
      <c r="AI8" s="145">
        <v>3500</v>
      </c>
      <c r="AJ8" s="145">
        <f t="shared" si="6"/>
        <v>28142.117699842973</v>
      </c>
      <c r="AK8" s="145">
        <f t="shared" si="7"/>
        <v>1011.0077384780284</v>
      </c>
      <c r="AL8" s="145">
        <f t="shared" si="8"/>
        <v>14078.660000000005</v>
      </c>
      <c r="AM8" s="146">
        <f t="shared" si="9"/>
        <v>-4.8739189189188847E-2</v>
      </c>
      <c r="AN8" s="128"/>
      <c r="AO8" s="144">
        <v>10672</v>
      </c>
      <c r="AS8" s="164"/>
      <c r="AT8" s="164"/>
      <c r="AU8" s="164"/>
      <c r="AV8" s="164"/>
      <c r="AW8" s="164"/>
      <c r="AX8" s="164"/>
      <c r="AY8" s="164"/>
    </row>
    <row r="9" spans="1:51" ht="17.25" thickTop="1" thickBot="1" x14ac:dyDescent="0.3">
      <c r="A9" s="120" t="s">
        <v>232</v>
      </c>
      <c r="B9" s="121" t="s">
        <v>239</v>
      </c>
      <c r="C9" s="122">
        <f t="shared" si="10"/>
        <v>16902</v>
      </c>
      <c r="D9" s="151">
        <v>0.49730779415658932</v>
      </c>
      <c r="E9" s="122">
        <v>33987</v>
      </c>
      <c r="F9" s="123">
        <v>11533.5</v>
      </c>
      <c r="G9" s="122">
        <f t="shared" si="0"/>
        <v>2379.09</v>
      </c>
      <c r="H9" s="122">
        <f t="shared" si="1"/>
        <v>339.87</v>
      </c>
      <c r="I9" s="124">
        <v>19</v>
      </c>
      <c r="J9" s="124">
        <v>1270</v>
      </c>
      <c r="K9" s="124">
        <v>670</v>
      </c>
      <c r="L9" s="124">
        <v>140</v>
      </c>
      <c r="M9" s="124">
        <f t="shared" si="2"/>
        <v>119.126</v>
      </c>
      <c r="N9" s="124">
        <f t="shared" si="3"/>
        <v>23.825200000000002</v>
      </c>
      <c r="O9" s="124">
        <f t="shared" si="4"/>
        <v>23.825200000000002</v>
      </c>
      <c r="P9" s="124">
        <v>600</v>
      </c>
      <c r="Q9" s="125">
        <f>E9*0.43</f>
        <v>14614.41</v>
      </c>
      <c r="R9" s="125">
        <v>3803</v>
      </c>
      <c r="S9" s="126">
        <v>25</v>
      </c>
      <c r="T9" s="125">
        <f>G9+H9+Q9+R9+S9+P9</f>
        <v>21761.37</v>
      </c>
      <c r="U9" s="125">
        <f>(E9-T9)*0.067</f>
        <v>819.11721000000011</v>
      </c>
      <c r="V9" s="125">
        <f>E9-T9-U9</f>
        <v>11406.512790000001</v>
      </c>
      <c r="W9" s="127">
        <f>(V9/F9)-1</f>
        <v>-1.1010292625829088E-2</v>
      </c>
      <c r="X9" s="128"/>
      <c r="Y9" s="129" t="s">
        <v>237</v>
      </c>
      <c r="Z9" s="129" t="s">
        <v>237</v>
      </c>
      <c r="AA9" s="129" t="s">
        <v>237</v>
      </c>
      <c r="AB9" s="129" t="s">
        <v>237</v>
      </c>
      <c r="AC9" s="129" t="s">
        <v>237</v>
      </c>
      <c r="AD9" s="129" t="s">
        <v>237</v>
      </c>
      <c r="AE9" s="129" t="s">
        <v>237</v>
      </c>
      <c r="AF9" s="129" t="s">
        <v>237</v>
      </c>
      <c r="AG9" s="128"/>
      <c r="AH9" s="145">
        <f t="shared" si="5"/>
        <v>16653.63</v>
      </c>
      <c r="AI9" s="145">
        <v>3500</v>
      </c>
      <c r="AJ9" s="145">
        <f t="shared" ref="AJ9" si="15">G9+H9+AH9+AI9</f>
        <v>22872.59</v>
      </c>
      <c r="AK9" s="145">
        <f t="shared" ref="AK9:AK10" si="16">(E9-AJ9)*0.067</f>
        <v>744.66547000000003</v>
      </c>
      <c r="AL9" s="145">
        <f t="shared" ref="AL9:AL10" si="17">E9-AJ9-AK9</f>
        <v>10369.74453</v>
      </c>
      <c r="AM9" s="146">
        <f t="shared" ref="AM9:AM10" si="18">AL9/F9-1</f>
        <v>-0.10090219534399791</v>
      </c>
      <c r="AN9" s="128"/>
      <c r="AO9" s="144">
        <v>10672</v>
      </c>
      <c r="AP9" t="s">
        <v>254</v>
      </c>
      <c r="AQ9">
        <v>7100</v>
      </c>
      <c r="AR9" t="s">
        <v>252</v>
      </c>
      <c r="AS9" s="164"/>
      <c r="AT9" s="164"/>
      <c r="AU9" s="164"/>
      <c r="AV9" s="164"/>
      <c r="AW9" s="164"/>
      <c r="AX9" s="164"/>
      <c r="AY9" s="164"/>
    </row>
    <row r="10" spans="1:51" ht="17.25" thickTop="1" thickBot="1" x14ac:dyDescent="0.3">
      <c r="A10" s="120" t="s">
        <v>236</v>
      </c>
      <c r="B10" s="121" t="s">
        <v>244</v>
      </c>
      <c r="C10" s="122">
        <f t="shared" si="10"/>
        <v>9901</v>
      </c>
      <c r="D10" s="151">
        <v>0.49815425233966215</v>
      </c>
      <c r="E10" s="122">
        <v>19875.369834741647</v>
      </c>
      <c r="F10" s="123">
        <v>7210.5</v>
      </c>
      <c r="G10" s="122">
        <f t="shared" si="0"/>
        <v>1391.2758884319153</v>
      </c>
      <c r="H10" s="122">
        <f t="shared" si="1"/>
        <v>198.75369834741647</v>
      </c>
      <c r="I10" s="124">
        <v>6</v>
      </c>
      <c r="J10" s="124">
        <v>1070</v>
      </c>
      <c r="K10" s="124">
        <v>560</v>
      </c>
      <c r="L10" s="124">
        <v>80</v>
      </c>
      <c r="M10" s="124">
        <f t="shared" si="2"/>
        <v>47.936</v>
      </c>
      <c r="N10" s="124">
        <f t="shared" si="3"/>
        <v>9.5871999999999993</v>
      </c>
      <c r="O10" s="124">
        <f t="shared" si="4"/>
        <v>9.5871999999999993</v>
      </c>
      <c r="P10" s="124">
        <v>600</v>
      </c>
      <c r="Q10" s="125">
        <f>E10*0.43</f>
        <v>8546.4090289389078</v>
      </c>
      <c r="R10" s="125">
        <v>2000</v>
      </c>
      <c r="S10" s="125">
        <v>25</v>
      </c>
      <c r="T10" s="125">
        <f>G10+H10+Q10+R10+S10+P10</f>
        <v>12761.43861571824</v>
      </c>
      <c r="U10" s="125">
        <f>(E10-T10)*0.067</f>
        <v>476.63339167456826</v>
      </c>
      <c r="V10" s="125">
        <f>E10-T10-U10</f>
        <v>6637.2978273488388</v>
      </c>
      <c r="W10" s="127">
        <f>(V10/F10)-1</f>
        <v>-7.949548195702949E-2</v>
      </c>
      <c r="X10" s="128"/>
      <c r="Y10" s="129">
        <f>E10*0.49</f>
        <v>9738.9312190234068</v>
      </c>
      <c r="Z10" s="129">
        <v>30</v>
      </c>
      <c r="AA10" s="129">
        <f>((M10-3)*23)+116</f>
        <v>1149.528</v>
      </c>
      <c r="AB10" s="129">
        <v>25</v>
      </c>
      <c r="AC10" s="129">
        <f t="shared" si="11"/>
        <v>12533.488805802739</v>
      </c>
      <c r="AD10" s="129">
        <f t="shared" si="12"/>
        <v>491.90602893890684</v>
      </c>
      <c r="AE10" s="129">
        <f t="shared" si="13"/>
        <v>6849.9750000000004</v>
      </c>
      <c r="AF10" s="130">
        <f t="shared" si="14"/>
        <v>-4.9999999999999933E-2</v>
      </c>
      <c r="AG10" s="128"/>
      <c r="AH10" s="145">
        <f t="shared" si="5"/>
        <v>9738.9312190234068</v>
      </c>
      <c r="AI10" s="145">
        <v>3000</v>
      </c>
      <c r="AJ10" s="145">
        <f t="shared" si="6"/>
        <v>14328.960805802739</v>
      </c>
      <c r="AK10" s="145">
        <f t="shared" si="16"/>
        <v>371.60940493890683</v>
      </c>
      <c r="AL10" s="145">
        <f t="shared" si="17"/>
        <v>5174.7996240000011</v>
      </c>
      <c r="AM10" s="146">
        <f t="shared" si="18"/>
        <v>-0.28232444019138736</v>
      </c>
      <c r="AN10" s="128"/>
      <c r="AO10" s="144">
        <v>5909</v>
      </c>
      <c r="AS10" s="164"/>
      <c r="AT10" s="164"/>
      <c r="AU10" s="164"/>
      <c r="AV10" s="164"/>
      <c r="AW10" s="164"/>
      <c r="AX10" s="164"/>
      <c r="AY10" s="164"/>
    </row>
    <row r="11" spans="1:51" ht="16.5" thickTop="1" x14ac:dyDescent="0.25">
      <c r="F11" s="137" t="s">
        <v>245</v>
      </c>
    </row>
    <row r="12" spans="1:51" x14ac:dyDescent="0.25">
      <c r="F12" s="142" t="s">
        <v>246</v>
      </c>
      <c r="AR12" t="s">
        <v>260</v>
      </c>
      <c r="AS12" t="s">
        <v>255</v>
      </c>
    </row>
    <row r="13" spans="1:51" x14ac:dyDescent="0.25">
      <c r="I13" s="143"/>
      <c r="AS13" t="s">
        <v>256</v>
      </c>
    </row>
    <row r="14" spans="1:51" x14ac:dyDescent="0.25">
      <c r="K14" s="143"/>
      <c r="AS14" t="s">
        <v>257</v>
      </c>
    </row>
    <row r="15" spans="1:51" x14ac:dyDescent="0.25">
      <c r="AS15" t="s">
        <v>258</v>
      </c>
    </row>
    <row r="20" spans="40:40" x14ac:dyDescent="0.25">
      <c r="AN20"/>
    </row>
  </sheetData>
  <autoFilter ref="B2:B15" xr:uid="{89287D30-5A75-4A56-8A61-B5DAA4FEC88C}"/>
  <sortState xmlns:xlrd2="http://schemas.microsoft.com/office/spreadsheetml/2017/richdata2" ref="A3:W14">
    <sortCondition descending="1" ref="I2"/>
  </sortState>
  <mergeCells count="4">
    <mergeCell ref="V1:W1"/>
    <mergeCell ref="AE1:AF1"/>
    <mergeCell ref="AL1:AM1"/>
    <mergeCell ref="AS2:AY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</vt:lpstr>
      <vt:lpstr>Калькулятор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2026-06-20T01:10:51Z</dcterms:modified>
</cp:coreProperties>
</file>