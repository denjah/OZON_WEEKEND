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uh2\Desktop\Материалы\Проекты\Калькулятор Юнит-экономики\"/>
    </mc:Choice>
  </mc:AlternateContent>
  <xr:revisionPtr revIDLastSave="0" documentId="13_ncr:1_{54DD6C81-605A-404D-8AE3-4F610CE2AE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6" i="1" l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<sst xmlns="http://schemas.openxmlformats.org/spreadsheetml/2006/main" count="52" uniqueCount="52">
  <si>
    <t>Артикул</t>
  </si>
  <si>
    <t>Вес бр, кг</t>
  </si>
  <si>
    <t>Длина, мм</t>
  </si>
  <si>
    <t>Ширина, мм</t>
  </si>
  <si>
    <t>Высота, мм</t>
  </si>
  <si>
    <t>Объём, л</t>
  </si>
  <si>
    <t>Объ-вес</t>
  </si>
  <si>
    <t>52.002.00.0</t>
  </si>
  <si>
    <t>52.708.07.5</t>
  </si>
  <si>
    <t>53.002.06.0</t>
  </si>
  <si>
    <t>51.217.04.3</t>
  </si>
  <si>
    <t>53.110.06.0</t>
  </si>
  <si>
    <t>51.207.04.0</t>
  </si>
  <si>
    <t>51.217.04.1</t>
  </si>
  <si>
    <t>51.200.80.0</t>
  </si>
  <si>
    <t>51.217.04.0</t>
  </si>
  <si>
    <t>51.230.01.0</t>
  </si>
  <si>
    <t>51.370.00.0</t>
  </si>
  <si>
    <t>58.002.03.0</t>
  </si>
  <si>
    <t>53.125.04.0</t>
  </si>
  <si>
    <t>50.020.05.0</t>
  </si>
  <si>
    <t>51.202.30.0</t>
  </si>
  <si>
    <t>51.117.05.2</t>
  </si>
  <si>
    <t>53.011.04.0</t>
  </si>
  <si>
    <t>53.135.06.0</t>
  </si>
  <si>
    <t>53.042.06.0</t>
  </si>
  <si>
    <t>51.362.02.0</t>
  </si>
  <si>
    <t>51.217.04.2</t>
  </si>
  <si>
    <t>52.003.00.0</t>
  </si>
  <si>
    <t>53.048.07.0</t>
  </si>
  <si>
    <t>51.250.02.0</t>
  </si>
  <si>
    <t>51.220.01.0</t>
  </si>
  <si>
    <t>52.004.00.0</t>
  </si>
  <si>
    <t>51.150.02.0</t>
  </si>
  <si>
    <t>51.300.02.0</t>
  </si>
  <si>
    <t>53.014.04.8</t>
  </si>
  <si>
    <t>54.201.04.0</t>
  </si>
  <si>
    <t>51.400.04.1</t>
  </si>
  <si>
    <t>58.004.03.0</t>
  </si>
  <si>
    <t>53.012.04.0</t>
  </si>
  <si>
    <t>52.005.00.0</t>
  </si>
  <si>
    <t>54.203.04.0</t>
  </si>
  <si>
    <t>54.006.01.0</t>
  </si>
  <si>
    <t>53.005.03.0</t>
  </si>
  <si>
    <t>53.047.07.0</t>
  </si>
  <si>
    <t>51.385.25.0</t>
  </si>
  <si>
    <t>58.003.02.0</t>
  </si>
  <si>
    <t>58.017.04.0</t>
  </si>
  <si>
    <t>51.800.00.0</t>
  </si>
  <si>
    <t>53.004.04.0</t>
  </si>
  <si>
    <t>54.100.08.0</t>
  </si>
  <si>
    <t>51.208.04.1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</si>
</sst>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b/>
      <sz val="10"/>
      <name val="Calibri"/>
      <family val="2"/>
    </font>
    <font>
      <sz val="11"/>
      <name val="Calibri"/>
      <family val="2"/>
      <scheme val="minor"/>
    </font>
    <font>
      <sz val="12"/>
      <name val="Verdana"/>
      <family val="2"/>
    </font>
    <font>
      <sz val="1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rgb="FFF2F2F2"/>
      </patternFill>
    </fill>
    <fill>
      <patternFill patternType="solid">
        <fgColor theme="1" tint="0.14999847407452621"/>
        <bgColor rgb="FFF2F2F2"/>
      </patternFill>
    </fill>
    <fill>
      <patternFill patternType="solid">
        <fgColor theme="2"/>
        <bgColor rgb="FFF2F2F2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5" fillId="5" borderId="0" xfId="0" applyFont="1" applyFill="1"/>
    <xf numFmtId="1" fontId="3" fillId="4" borderId="1" xfId="0" applyNumberFormat="1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 vertical="center" wrapText="1"/>
    </xf>
    <xf numFmtId="0" fontId="6" fillId="5" borderId="0" xfId="0" applyFont="1" applyFill="1"/>
    <xf numFmtId="1" fontId="5" fillId="5" borderId="0" xfId="0" applyNumberFormat="1" applyFont="1" applyFill="1"/>
    <xf numFmtId="0" fontId="7" fillId="5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selection activeCell="J22" sqref="J22"/>
    </sheetView>
  </sheetViews>
  <sheetFormatPr defaultRowHeight="15.75" x14ac:dyDescent="0.25"/>
  <cols>
    <col min="1" max="1" width="13.28515625" style="8" customWidth="1"/>
    <col min="2" max="7" width="17.140625" style="9" customWidth="1"/>
    <col min="8" max="16384" width="9.140625" style="5"/>
  </cols>
  <sheetData>
    <row r="1" spans="1:7" customFormat="1" ht="17.2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5" thickTop="1" thickBot="1" x14ac:dyDescent="0.3">
      <c r="A2" s="3" t="s">
        <v>7</v>
      </c>
      <c r="B2" s="4">
        <v>1.74</v>
      </c>
      <c r="C2" s="4">
        <v>470</v>
      </c>
      <c r="D2" s="4">
        <v>315</v>
      </c>
      <c r="E2" s="4">
        <v>70</v>
      </c>
      <c r="F2" s="4">
        <f t="shared" ref="F2:F46" si="0">(D2*E2*C2)/1000000</f>
        <v>10.3635</v>
      </c>
      <c r="G2" s="4">
        <f t="shared" ref="G2:G46" si="1">((D2*E2*C2)/1000000)/5</f>
        <v>2.0727000000000002</v>
      </c>
    </row>
    <row r="3" spans="1:7" ht="16.5" thickTop="1" thickBot="1" x14ac:dyDescent="0.3">
      <c r="A3" s="3" t="s">
        <v>8</v>
      </c>
      <c r="B3" s="4">
        <v>114</v>
      </c>
      <c r="C3" s="4">
        <v>2350</v>
      </c>
      <c r="D3" s="4">
        <v>1300</v>
      </c>
      <c r="E3" s="4">
        <v>220</v>
      </c>
      <c r="F3" s="4">
        <f>(D3*E3*C3)/1000000</f>
        <v>672.1</v>
      </c>
      <c r="G3" s="4">
        <f>((D3*E3*C3)/1000000)/5</f>
        <v>134.42000000000002</v>
      </c>
    </row>
    <row r="4" spans="1:7" ht="16.5" thickTop="1" thickBot="1" x14ac:dyDescent="0.3">
      <c r="A4" s="3" t="s">
        <v>9</v>
      </c>
      <c r="B4" s="4">
        <v>30.5</v>
      </c>
      <c r="C4" s="4">
        <v>1042</v>
      </c>
      <c r="D4" s="4">
        <v>175</v>
      </c>
      <c r="E4" s="4">
        <v>1873</v>
      </c>
      <c r="F4" s="4">
        <f t="shared" si="0"/>
        <v>341.54154999999997</v>
      </c>
      <c r="G4" s="4">
        <f>((D4*E4*C4)/1000000)/5</f>
        <v>68.308309999999992</v>
      </c>
    </row>
    <row r="5" spans="1:7" ht="16.5" thickTop="1" thickBot="1" x14ac:dyDescent="0.3">
      <c r="A5" s="3" t="s">
        <v>10</v>
      </c>
      <c r="B5" s="4">
        <v>23.8</v>
      </c>
      <c r="C5" s="4">
        <v>1275</v>
      </c>
      <c r="D5" s="4">
        <v>650</v>
      </c>
      <c r="E5" s="4">
        <v>130</v>
      </c>
      <c r="F5" s="4">
        <f t="shared" si="0"/>
        <v>107.7375</v>
      </c>
      <c r="G5" s="4">
        <f t="shared" si="1"/>
        <v>21.547499999999999</v>
      </c>
    </row>
    <row r="6" spans="1:7" ht="16.5" thickTop="1" thickBot="1" x14ac:dyDescent="0.3">
      <c r="A6" s="3" t="s">
        <v>11</v>
      </c>
      <c r="B6" s="4">
        <v>52</v>
      </c>
      <c r="C6" s="4">
        <v>1930</v>
      </c>
      <c r="D6" s="4">
        <v>1120</v>
      </c>
      <c r="E6" s="4">
        <v>170</v>
      </c>
      <c r="F6" s="4">
        <f t="shared" si="0"/>
        <v>367.47199999999998</v>
      </c>
      <c r="G6" s="4">
        <f t="shared" si="1"/>
        <v>73.494399999999999</v>
      </c>
    </row>
    <row r="7" spans="1:7" ht="16.5" thickTop="1" thickBot="1" x14ac:dyDescent="0.3">
      <c r="A7" s="3" t="s">
        <v>12</v>
      </c>
      <c r="B7" s="4">
        <v>26.7</v>
      </c>
      <c r="C7" s="4">
        <v>1122</v>
      </c>
      <c r="D7" s="4">
        <v>686</v>
      </c>
      <c r="E7" s="4">
        <v>155</v>
      </c>
      <c r="F7" s="4">
        <f t="shared" si="0"/>
        <v>119.30226</v>
      </c>
      <c r="G7" s="4">
        <f t="shared" si="1"/>
        <v>23.860452000000002</v>
      </c>
    </row>
    <row r="8" spans="1:7" ht="16.5" thickTop="1" thickBot="1" x14ac:dyDescent="0.3">
      <c r="A8" s="3" t="s">
        <v>13</v>
      </c>
      <c r="B8" s="4">
        <v>23.8</v>
      </c>
      <c r="C8" s="4">
        <v>1275</v>
      </c>
      <c r="D8" s="4">
        <v>650</v>
      </c>
      <c r="E8" s="4">
        <v>130</v>
      </c>
      <c r="F8" s="4">
        <f t="shared" si="0"/>
        <v>107.7375</v>
      </c>
      <c r="G8" s="4">
        <f t="shared" si="1"/>
        <v>21.547499999999999</v>
      </c>
    </row>
    <row r="9" spans="1:7" ht="16.5" thickTop="1" thickBot="1" x14ac:dyDescent="0.3">
      <c r="A9" s="3" t="s">
        <v>14</v>
      </c>
      <c r="B9" s="4">
        <v>78</v>
      </c>
      <c r="C9" s="4">
        <v>1590</v>
      </c>
      <c r="D9" s="4">
        <v>1430</v>
      </c>
      <c r="E9" s="4">
        <v>170</v>
      </c>
      <c r="F9" s="4">
        <f t="shared" si="0"/>
        <v>386.529</v>
      </c>
      <c r="G9" s="4">
        <f t="shared" si="1"/>
        <v>77.305800000000005</v>
      </c>
    </row>
    <row r="10" spans="1:7" ht="16.5" thickTop="1" thickBot="1" x14ac:dyDescent="0.3">
      <c r="A10" s="3" t="s">
        <v>15</v>
      </c>
      <c r="B10" s="4">
        <v>23.8</v>
      </c>
      <c r="C10" s="4">
        <v>1275</v>
      </c>
      <c r="D10" s="4">
        <v>650</v>
      </c>
      <c r="E10" s="4">
        <v>130</v>
      </c>
      <c r="F10" s="4">
        <f t="shared" si="0"/>
        <v>107.7375</v>
      </c>
      <c r="G10" s="4">
        <f t="shared" si="1"/>
        <v>21.547499999999999</v>
      </c>
    </row>
    <row r="11" spans="1:7" ht="16.5" thickTop="1" thickBot="1" x14ac:dyDescent="0.3">
      <c r="A11" s="3" t="s">
        <v>16</v>
      </c>
      <c r="B11" s="4">
        <v>135</v>
      </c>
      <c r="C11" s="4">
        <v>1590</v>
      </c>
      <c r="D11" s="4">
        <v>1450</v>
      </c>
      <c r="E11" s="4">
        <v>220</v>
      </c>
      <c r="F11" s="4">
        <f t="shared" si="0"/>
        <v>507.21</v>
      </c>
      <c r="G11" s="4">
        <f t="shared" si="1"/>
        <v>101.44199999999999</v>
      </c>
    </row>
    <row r="12" spans="1:7" ht="16.5" thickTop="1" thickBot="1" x14ac:dyDescent="0.3">
      <c r="A12" s="3" t="s">
        <v>17</v>
      </c>
      <c r="B12" s="4">
        <v>65</v>
      </c>
      <c r="C12" s="4">
        <v>1600</v>
      </c>
      <c r="D12" s="4">
        <v>1450</v>
      </c>
      <c r="E12" s="4">
        <v>80</v>
      </c>
      <c r="F12" s="4">
        <f t="shared" si="0"/>
        <v>185.6</v>
      </c>
      <c r="G12" s="4">
        <f t="shared" si="1"/>
        <v>37.119999999999997</v>
      </c>
    </row>
    <row r="13" spans="1:7" ht="16.5" thickTop="1" thickBot="1" x14ac:dyDescent="0.3">
      <c r="A13" s="3" t="s">
        <v>18</v>
      </c>
      <c r="B13" s="4">
        <v>20</v>
      </c>
      <c r="C13" s="4">
        <v>1310</v>
      </c>
      <c r="D13" s="4">
        <v>840</v>
      </c>
      <c r="E13" s="4">
        <v>170</v>
      </c>
      <c r="F13" s="4">
        <f t="shared" si="0"/>
        <v>187.06800000000001</v>
      </c>
      <c r="G13" s="4">
        <f t="shared" si="1"/>
        <v>37.413600000000002</v>
      </c>
    </row>
    <row r="14" spans="1:7" ht="16.5" thickTop="1" thickBot="1" x14ac:dyDescent="0.3">
      <c r="A14" s="3" t="s">
        <v>19</v>
      </c>
      <c r="B14" s="4">
        <v>21.3</v>
      </c>
      <c r="C14" s="4">
        <v>1451</v>
      </c>
      <c r="D14" s="4">
        <v>142</v>
      </c>
      <c r="E14" s="4">
        <v>730</v>
      </c>
      <c r="F14" s="4">
        <f t="shared" si="0"/>
        <v>150.41066000000001</v>
      </c>
      <c r="G14" s="4">
        <f t="shared" si="1"/>
        <v>30.082132000000001</v>
      </c>
    </row>
    <row r="15" spans="1:7" ht="16.5" thickTop="1" thickBot="1" x14ac:dyDescent="0.3">
      <c r="A15" s="3" t="s">
        <v>20</v>
      </c>
      <c r="B15" s="6">
        <v>22</v>
      </c>
      <c r="C15" s="6">
        <v>1600</v>
      </c>
      <c r="D15" s="6">
        <v>820</v>
      </c>
      <c r="E15" s="6">
        <v>120</v>
      </c>
      <c r="F15" s="6">
        <f t="shared" si="0"/>
        <v>157.44</v>
      </c>
      <c r="G15" s="6">
        <f t="shared" si="1"/>
        <v>31.488</v>
      </c>
    </row>
    <row r="16" spans="1:7" ht="16.5" thickTop="1" thickBot="1" x14ac:dyDescent="0.3">
      <c r="A16" s="3" t="s">
        <v>21</v>
      </c>
      <c r="B16" s="6">
        <v>120</v>
      </c>
      <c r="C16" s="6">
        <v>1620</v>
      </c>
      <c r="D16" s="6">
        <v>1460</v>
      </c>
      <c r="E16" s="6">
        <v>160</v>
      </c>
      <c r="F16" s="6">
        <f t="shared" si="0"/>
        <v>378.43200000000002</v>
      </c>
      <c r="G16" s="6">
        <f t="shared" si="1"/>
        <v>75.686400000000006</v>
      </c>
    </row>
    <row r="17" spans="1:7" ht="16.5" thickTop="1" thickBot="1" x14ac:dyDescent="0.3">
      <c r="A17" s="3" t="s">
        <v>22</v>
      </c>
      <c r="B17" s="4">
        <v>55</v>
      </c>
      <c r="C17" s="4">
        <v>1450</v>
      </c>
      <c r="D17" s="4">
        <v>790</v>
      </c>
      <c r="E17" s="4">
        <v>180</v>
      </c>
      <c r="F17" s="4">
        <f t="shared" si="0"/>
        <v>206.19</v>
      </c>
      <c r="G17" s="4">
        <f t="shared" si="1"/>
        <v>41.238</v>
      </c>
    </row>
    <row r="18" spans="1:7" ht="16.5" thickTop="1" thickBot="1" x14ac:dyDescent="0.3">
      <c r="A18" s="3" t="s">
        <v>23</v>
      </c>
      <c r="B18" s="4">
        <v>19</v>
      </c>
      <c r="C18" s="4">
        <v>1270</v>
      </c>
      <c r="D18" s="4">
        <v>670</v>
      </c>
      <c r="E18" s="4">
        <v>140</v>
      </c>
      <c r="F18" s="4">
        <f t="shared" si="0"/>
        <v>119.126</v>
      </c>
      <c r="G18" s="4">
        <f t="shared" si="1"/>
        <v>23.825200000000002</v>
      </c>
    </row>
    <row r="19" spans="1:7" ht="16.5" thickTop="1" thickBot="1" x14ac:dyDescent="0.3">
      <c r="A19" s="3" t="s">
        <v>24</v>
      </c>
      <c r="B19" s="4">
        <v>58</v>
      </c>
      <c r="C19" s="4">
        <v>1930</v>
      </c>
      <c r="D19" s="4">
        <v>1100</v>
      </c>
      <c r="E19" s="4">
        <v>170</v>
      </c>
      <c r="F19" s="4">
        <f t="shared" si="0"/>
        <v>360.91</v>
      </c>
      <c r="G19" s="4">
        <f t="shared" si="1"/>
        <v>72.182000000000002</v>
      </c>
    </row>
    <row r="20" spans="1:7" ht="16.5" thickTop="1" thickBot="1" x14ac:dyDescent="0.3">
      <c r="A20" s="3" t="s">
        <v>25</v>
      </c>
      <c r="B20" s="4">
        <v>44</v>
      </c>
      <c r="C20" s="4">
        <v>1850</v>
      </c>
      <c r="D20" s="4">
        <v>1020</v>
      </c>
      <c r="E20" s="4">
        <v>150</v>
      </c>
      <c r="F20" s="4">
        <f t="shared" si="0"/>
        <v>283.05</v>
      </c>
      <c r="G20" s="4">
        <f t="shared" si="1"/>
        <v>56.61</v>
      </c>
    </row>
    <row r="21" spans="1:7" ht="16.5" thickTop="1" thickBot="1" x14ac:dyDescent="0.3">
      <c r="A21" s="3" t="s">
        <v>26</v>
      </c>
      <c r="B21" s="4">
        <v>70</v>
      </c>
      <c r="C21" s="4">
        <v>1600</v>
      </c>
      <c r="D21" s="4">
        <v>1450</v>
      </c>
      <c r="E21" s="4">
        <v>100</v>
      </c>
      <c r="F21" s="4">
        <f t="shared" si="0"/>
        <v>232</v>
      </c>
      <c r="G21" s="4">
        <f t="shared" si="1"/>
        <v>46.4</v>
      </c>
    </row>
    <row r="22" spans="1:7" ht="16.5" thickTop="1" thickBot="1" x14ac:dyDescent="0.3">
      <c r="A22" s="3" t="s">
        <v>27</v>
      </c>
      <c r="B22" s="4">
        <v>23.8</v>
      </c>
      <c r="C22" s="4">
        <v>1275</v>
      </c>
      <c r="D22" s="4">
        <v>650</v>
      </c>
      <c r="E22" s="4">
        <v>130</v>
      </c>
      <c r="F22" s="4">
        <f t="shared" si="0"/>
        <v>107.7375</v>
      </c>
      <c r="G22" s="4">
        <f t="shared" si="1"/>
        <v>21.547499999999999</v>
      </c>
    </row>
    <row r="23" spans="1:7" ht="16.5" thickTop="1" thickBot="1" x14ac:dyDescent="0.3">
      <c r="A23" s="3" t="s">
        <v>28</v>
      </c>
      <c r="B23" s="4">
        <v>2.2999999999999998</v>
      </c>
      <c r="C23" s="4">
        <v>600</v>
      </c>
      <c r="D23" s="4">
        <v>410</v>
      </c>
      <c r="E23" s="4">
        <v>100</v>
      </c>
      <c r="F23" s="4">
        <f t="shared" si="0"/>
        <v>24.6</v>
      </c>
      <c r="G23" s="4">
        <f t="shared" si="1"/>
        <v>4.92</v>
      </c>
    </row>
    <row r="24" spans="1:7" ht="16.5" thickTop="1" thickBot="1" x14ac:dyDescent="0.3">
      <c r="A24" s="3" t="s">
        <v>29</v>
      </c>
      <c r="B24" s="4">
        <v>70</v>
      </c>
      <c r="C24" s="4">
        <v>2190</v>
      </c>
      <c r="D24" s="4">
        <v>1120</v>
      </c>
      <c r="E24" s="4">
        <v>180</v>
      </c>
      <c r="F24" s="4">
        <f t="shared" si="0"/>
        <v>441.50400000000002</v>
      </c>
      <c r="G24" s="4">
        <f t="shared" si="1"/>
        <v>88.30080000000001</v>
      </c>
    </row>
    <row r="25" spans="1:7" ht="16.5" thickTop="1" thickBot="1" x14ac:dyDescent="0.3">
      <c r="A25" s="3" t="s">
        <v>30</v>
      </c>
      <c r="B25" s="4">
        <v>78</v>
      </c>
      <c r="C25" s="4">
        <v>1590</v>
      </c>
      <c r="D25" s="4">
        <v>1430</v>
      </c>
      <c r="E25" s="4">
        <v>115</v>
      </c>
      <c r="F25" s="4">
        <f t="shared" si="0"/>
        <v>261.47550000000001</v>
      </c>
      <c r="G25" s="4">
        <f t="shared" si="1"/>
        <v>52.295100000000005</v>
      </c>
    </row>
    <row r="26" spans="1:7" ht="16.5" thickTop="1" thickBot="1" x14ac:dyDescent="0.3">
      <c r="A26" s="3" t="s">
        <v>31</v>
      </c>
      <c r="B26" s="4">
        <v>115</v>
      </c>
      <c r="C26" s="4">
        <v>1580</v>
      </c>
      <c r="D26" s="4">
        <v>1450</v>
      </c>
      <c r="E26" s="4">
        <v>190</v>
      </c>
      <c r="F26" s="4">
        <f t="shared" si="0"/>
        <v>435.29</v>
      </c>
      <c r="G26" s="4">
        <f t="shared" si="1"/>
        <v>87.058000000000007</v>
      </c>
    </row>
    <row r="27" spans="1:7" ht="16.5" thickTop="1" thickBot="1" x14ac:dyDescent="0.3">
      <c r="A27" s="3" t="s">
        <v>32</v>
      </c>
      <c r="B27" s="4">
        <v>20.6</v>
      </c>
      <c r="C27" s="4">
        <v>1200</v>
      </c>
      <c r="D27" s="4">
        <v>552</v>
      </c>
      <c r="E27" s="4">
        <v>103</v>
      </c>
      <c r="F27" s="4">
        <f t="shared" si="0"/>
        <v>68.227199999999996</v>
      </c>
      <c r="G27" s="4">
        <f t="shared" si="1"/>
        <v>13.645439999999999</v>
      </c>
    </row>
    <row r="28" spans="1:7" ht="16.5" thickTop="1" thickBot="1" x14ac:dyDescent="0.3">
      <c r="A28" s="3" t="s">
        <v>33</v>
      </c>
      <c r="B28" s="4">
        <v>89</v>
      </c>
      <c r="C28" s="4">
        <v>1600</v>
      </c>
      <c r="D28" s="4">
        <v>450</v>
      </c>
      <c r="E28" s="4">
        <v>100</v>
      </c>
      <c r="F28" s="4">
        <f t="shared" si="0"/>
        <v>72</v>
      </c>
      <c r="G28" s="4">
        <f t="shared" si="1"/>
        <v>14.4</v>
      </c>
    </row>
    <row r="29" spans="1:7" ht="16.5" thickTop="1" thickBot="1" x14ac:dyDescent="0.3">
      <c r="A29" s="3" t="s">
        <v>34</v>
      </c>
      <c r="B29" s="4">
        <v>112.5</v>
      </c>
      <c r="C29" s="4">
        <v>1590</v>
      </c>
      <c r="D29" s="4">
        <v>1430</v>
      </c>
      <c r="E29" s="4">
        <v>160</v>
      </c>
      <c r="F29" s="4">
        <f t="shared" si="0"/>
        <v>363.79199999999997</v>
      </c>
      <c r="G29" s="4">
        <f t="shared" si="1"/>
        <v>72.758399999999995</v>
      </c>
    </row>
    <row r="30" spans="1:7" ht="16.5" thickTop="1" thickBot="1" x14ac:dyDescent="0.3">
      <c r="A30" s="3" t="s">
        <v>35</v>
      </c>
      <c r="B30" s="4">
        <v>14.5</v>
      </c>
      <c r="C30" s="4">
        <v>1100</v>
      </c>
      <c r="D30" s="4">
        <v>630</v>
      </c>
      <c r="E30" s="4">
        <v>90</v>
      </c>
      <c r="F30" s="4">
        <f t="shared" si="0"/>
        <v>62.37</v>
      </c>
      <c r="G30" s="4">
        <f t="shared" si="1"/>
        <v>12.474</v>
      </c>
    </row>
    <row r="31" spans="1:7" ht="16.5" thickTop="1" thickBot="1" x14ac:dyDescent="0.3">
      <c r="A31" s="3" t="s">
        <v>36</v>
      </c>
      <c r="B31" s="4">
        <v>26</v>
      </c>
      <c r="C31" s="4">
        <v>1110</v>
      </c>
      <c r="D31" s="4">
        <v>650</v>
      </c>
      <c r="E31" s="4">
        <v>160</v>
      </c>
      <c r="F31" s="4">
        <f t="shared" si="0"/>
        <v>115.44</v>
      </c>
      <c r="G31" s="4">
        <f t="shared" si="1"/>
        <v>23.088000000000001</v>
      </c>
    </row>
    <row r="32" spans="1:7" ht="16.5" thickTop="1" thickBot="1" x14ac:dyDescent="0.3">
      <c r="A32" s="3" t="s">
        <v>37</v>
      </c>
      <c r="B32" s="4">
        <v>53</v>
      </c>
      <c r="C32" s="4">
        <v>1590</v>
      </c>
      <c r="D32" s="4">
        <v>1430</v>
      </c>
      <c r="E32" s="4">
        <v>100</v>
      </c>
      <c r="F32" s="4">
        <f t="shared" si="0"/>
        <v>227.37</v>
      </c>
      <c r="G32" s="4">
        <f t="shared" si="1"/>
        <v>45.474000000000004</v>
      </c>
    </row>
    <row r="33" spans="1:7" ht="16.5" thickTop="1" thickBot="1" x14ac:dyDescent="0.3">
      <c r="A33" s="3" t="s">
        <v>38</v>
      </c>
      <c r="B33" s="4">
        <v>29</v>
      </c>
      <c r="C33" s="4">
        <v>1390</v>
      </c>
      <c r="D33" s="4">
        <v>860</v>
      </c>
      <c r="E33" s="4">
        <v>245</v>
      </c>
      <c r="F33" s="4">
        <f t="shared" si="0"/>
        <v>292.87299999999999</v>
      </c>
      <c r="G33" s="4">
        <f t="shared" si="1"/>
        <v>58.574599999999997</v>
      </c>
    </row>
    <row r="34" spans="1:7" ht="16.5" thickTop="1" thickBot="1" x14ac:dyDescent="0.3">
      <c r="A34" s="3" t="s">
        <v>39</v>
      </c>
      <c r="B34" s="4">
        <v>17</v>
      </c>
      <c r="C34" s="4">
        <v>1200</v>
      </c>
      <c r="D34" s="4">
        <v>625</v>
      </c>
      <c r="E34" s="4">
        <v>90</v>
      </c>
      <c r="F34" s="4">
        <f t="shared" si="0"/>
        <v>67.5</v>
      </c>
      <c r="G34" s="4">
        <f t="shared" si="1"/>
        <v>13.5</v>
      </c>
    </row>
    <row r="35" spans="1:7" ht="16.5" thickTop="1" thickBot="1" x14ac:dyDescent="0.3">
      <c r="A35" s="3" t="s">
        <v>40</v>
      </c>
      <c r="B35" s="6">
        <v>1.1499999999999999</v>
      </c>
      <c r="C35" s="6">
        <v>615</v>
      </c>
      <c r="D35" s="6">
        <v>280</v>
      </c>
      <c r="E35" s="6">
        <v>75</v>
      </c>
      <c r="F35" s="6">
        <f t="shared" si="0"/>
        <v>12.914999999999999</v>
      </c>
      <c r="G35" s="6">
        <f t="shared" si="1"/>
        <v>2.5829999999999997</v>
      </c>
    </row>
    <row r="36" spans="1:7" ht="16.5" thickTop="1" thickBot="1" x14ac:dyDescent="0.3">
      <c r="A36" s="3" t="s">
        <v>41</v>
      </c>
      <c r="B36" s="4">
        <v>25</v>
      </c>
      <c r="C36" s="4">
        <v>1110</v>
      </c>
      <c r="D36" s="4">
        <v>650</v>
      </c>
      <c r="E36" s="4">
        <v>160</v>
      </c>
      <c r="F36" s="4">
        <f t="shared" si="0"/>
        <v>115.44</v>
      </c>
      <c r="G36" s="4">
        <f t="shared" si="1"/>
        <v>23.088000000000001</v>
      </c>
    </row>
    <row r="37" spans="1:7" ht="16.5" thickTop="1" thickBot="1" x14ac:dyDescent="0.3">
      <c r="A37" s="3" t="s">
        <v>42</v>
      </c>
      <c r="B37" s="4">
        <v>5</v>
      </c>
      <c r="C37" s="4">
        <v>90</v>
      </c>
      <c r="D37" s="4">
        <v>940</v>
      </c>
      <c r="E37" s="4">
        <v>260</v>
      </c>
      <c r="F37" s="4">
        <f t="shared" si="0"/>
        <v>21.995999999999999</v>
      </c>
      <c r="G37" s="4">
        <f t="shared" si="1"/>
        <v>4.3991999999999996</v>
      </c>
    </row>
    <row r="38" spans="1:7" ht="16.5" thickTop="1" thickBot="1" x14ac:dyDescent="0.3">
      <c r="A38" s="3" t="s">
        <v>43</v>
      </c>
      <c r="B38" s="4">
        <v>6</v>
      </c>
      <c r="C38" s="4">
        <v>1070</v>
      </c>
      <c r="D38" s="4">
        <v>560</v>
      </c>
      <c r="E38" s="4">
        <v>80</v>
      </c>
      <c r="F38" s="4">
        <f t="shared" si="0"/>
        <v>47.936</v>
      </c>
      <c r="G38" s="4">
        <f t="shared" si="1"/>
        <v>9.5871999999999993</v>
      </c>
    </row>
    <row r="39" spans="1:7" ht="16.5" thickTop="1" thickBot="1" x14ac:dyDescent="0.3">
      <c r="A39" s="3" t="s">
        <v>44</v>
      </c>
      <c r="B39" s="4">
        <v>68</v>
      </c>
      <c r="C39" s="4">
        <v>2190</v>
      </c>
      <c r="D39" s="4">
        <v>1270</v>
      </c>
      <c r="E39" s="4">
        <v>170</v>
      </c>
      <c r="F39" s="4">
        <f t="shared" si="0"/>
        <v>472.82100000000003</v>
      </c>
      <c r="G39" s="4">
        <f t="shared" si="1"/>
        <v>94.5642</v>
      </c>
    </row>
    <row r="40" spans="1:7" ht="16.5" thickTop="1" thickBot="1" x14ac:dyDescent="0.3">
      <c r="A40" s="3" t="s">
        <v>45</v>
      </c>
      <c r="B40" s="4">
        <v>135</v>
      </c>
      <c r="C40" s="4">
        <v>1600</v>
      </c>
      <c r="D40" s="4">
        <v>1450</v>
      </c>
      <c r="E40" s="4">
        <v>165</v>
      </c>
      <c r="F40" s="4">
        <f t="shared" si="0"/>
        <v>382.8</v>
      </c>
      <c r="G40" s="4">
        <f t="shared" si="1"/>
        <v>76.56</v>
      </c>
    </row>
    <row r="41" spans="1:7" ht="16.5" thickTop="1" thickBot="1" x14ac:dyDescent="0.3">
      <c r="A41" s="3" t="s">
        <v>46</v>
      </c>
      <c r="B41" s="4">
        <v>11</v>
      </c>
      <c r="C41" s="4">
        <v>1010</v>
      </c>
      <c r="D41" s="4">
        <v>550</v>
      </c>
      <c r="E41" s="4">
        <v>210</v>
      </c>
      <c r="F41" s="4">
        <f t="shared" si="0"/>
        <v>116.655</v>
      </c>
      <c r="G41" s="4">
        <f t="shared" si="1"/>
        <v>23.331</v>
      </c>
    </row>
    <row r="42" spans="1:7" ht="16.5" thickTop="1" thickBot="1" x14ac:dyDescent="0.3">
      <c r="A42" s="3" t="s">
        <v>47</v>
      </c>
      <c r="B42" s="7">
        <v>40</v>
      </c>
      <c r="C42" s="7">
        <v>1700</v>
      </c>
      <c r="D42" s="7">
        <v>800</v>
      </c>
      <c r="E42" s="7">
        <v>250</v>
      </c>
      <c r="F42" s="4">
        <f t="shared" si="0"/>
        <v>340</v>
      </c>
      <c r="G42" s="4">
        <f t="shared" si="1"/>
        <v>68</v>
      </c>
    </row>
    <row r="43" spans="1:7" ht="16.5" thickTop="1" thickBot="1" x14ac:dyDescent="0.3">
      <c r="A43" s="3" t="s">
        <v>48</v>
      </c>
      <c r="B43" s="4">
        <v>63.8</v>
      </c>
      <c r="C43" s="4">
        <v>1600</v>
      </c>
      <c r="D43" s="4">
        <v>1450</v>
      </c>
      <c r="E43" s="4">
        <v>130</v>
      </c>
      <c r="F43" s="4">
        <f t="shared" si="0"/>
        <v>301.60000000000002</v>
      </c>
      <c r="G43" s="4">
        <f t="shared" si="1"/>
        <v>60.320000000000007</v>
      </c>
    </row>
    <row r="44" spans="1:7" ht="16.5" thickTop="1" thickBot="1" x14ac:dyDescent="0.3">
      <c r="A44" s="3" t="s">
        <v>49</v>
      </c>
      <c r="B44" s="4">
        <v>30</v>
      </c>
      <c r="C44" s="4">
        <v>1440</v>
      </c>
      <c r="D44" s="4">
        <v>660</v>
      </c>
      <c r="E44" s="4">
        <v>150</v>
      </c>
      <c r="F44" s="4">
        <f t="shared" si="0"/>
        <v>142.56</v>
      </c>
      <c r="G44" s="4">
        <f t="shared" si="1"/>
        <v>28.512</v>
      </c>
    </row>
    <row r="45" spans="1:7" ht="16.5" thickTop="1" thickBot="1" x14ac:dyDescent="0.3">
      <c r="A45" s="3" t="s">
        <v>50</v>
      </c>
      <c r="B45" s="4">
        <v>37</v>
      </c>
      <c r="C45" s="4">
        <v>1300</v>
      </c>
      <c r="D45" s="4">
        <v>470</v>
      </c>
      <c r="E45" s="4">
        <v>230</v>
      </c>
      <c r="F45" s="4">
        <f t="shared" si="0"/>
        <v>140.53</v>
      </c>
      <c r="G45" s="4">
        <f t="shared" si="1"/>
        <v>28.106000000000002</v>
      </c>
    </row>
    <row r="46" spans="1:7" ht="16.5" thickTop="1" thickBot="1" x14ac:dyDescent="0.3">
      <c r="A46" s="3" t="s">
        <v>51</v>
      </c>
      <c r="B46" s="4">
        <v>26</v>
      </c>
      <c r="C46" s="4">
        <v>1255</v>
      </c>
      <c r="D46" s="4">
        <v>625</v>
      </c>
      <c r="E46" s="4">
        <v>125</v>
      </c>
      <c r="F46" s="4">
        <f t="shared" si="0"/>
        <v>98.046875</v>
      </c>
      <c r="G46" s="4">
        <f t="shared" si="1"/>
        <v>19.609375</v>
      </c>
    </row>
    <row r="47" spans="1:7" ht="16.5" thickTop="1" x14ac:dyDescent="0.25"/>
    <row r="49" spans="2:4" x14ac:dyDescent="0.25">
      <c r="B49" s="10"/>
    </row>
    <row r="50" spans="2:4" x14ac:dyDescent="0.25">
      <c r="D5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Buh2</dc:creator>
  <cp:lastModifiedBy>Buh2</cp:lastModifiedBy>
  <dcterms:created xsi:type="dcterms:W3CDTF">2015-06-05T18:17:20Z</dcterms:created>
  <dcterms:modified xsi:type="dcterms:W3CDTF">2026-06-23T13:31:53Z</dcterms:modified>
</cp:coreProperties>
</file>